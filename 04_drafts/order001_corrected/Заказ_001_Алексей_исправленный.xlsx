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ec6e13c4a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ЛНЫЙ ЗАКАЗ" sheetId="1" r:id="R5fe5e0100f6d45bc"/>
    <x:sheet xmlns:r="http://schemas.openxmlformats.org/officeDocument/2006/relationships" name="Заказ" sheetId="2" r:id="Rbed800aa8b4b4e47"/>
    <x:sheet xmlns:r="http://schemas.openxmlformats.org/officeDocument/2006/relationships" name="Детали" sheetId="3" r:id="Re358e7f9f7d746ee"/>
    <x:sheet xmlns:r="http://schemas.openxmlformats.org/officeDocument/2006/relationships" name="Финансы" sheetId="4" r:id="R8d4cff2f0e7a4093"/>
    <x:sheet xmlns:r="http://schemas.openxmlformats.org/officeDocument/2006/relationships" name="Сверка" sheetId="5" r:id="R8453882551a9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0"/>
    <x:numFmt numFmtId="202" formatCode="0.000"/>
    <x:numFmt numFmtId="203" formatCode="#,##0 [$₸-kk-KZ]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AAB7C4"/>
      </x:right>
    </x:border>
    <x:border>
      <x:left style="thin">
        <x:color rgb="FFAAB7C4"/>
      </x:left>
      <x:right style="thin">
        <x:color rgb="FFAAB7C4"/>
      </x:right>
    </x:border>
    <x:border>
      <x:left style="thin">
        <x:color rgb="FFAAB7C4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99769484044eb" /><Relationship Type="http://schemas.openxmlformats.org/officeDocument/2006/relationships/theme" Target="/xl/theme/theme1.xml" Id="R06b2662c65684944" /><Relationship Type="http://schemas.openxmlformats.org/officeDocument/2006/relationships/sharedStrings" Target="/xl/sharedStrings.xml" Id="Rae132e09a48e4e07" /><Relationship Type="http://schemas.openxmlformats.org/officeDocument/2006/relationships/worksheet" Target="/xl/worksheets/sheet1.xml" Id="R5fe5e0100f6d45bc" /><Relationship Type="http://schemas.openxmlformats.org/officeDocument/2006/relationships/worksheet" Target="/xl/worksheets/sheet2.xml" Id="Rbed800aa8b4b4e47" /><Relationship Type="http://schemas.openxmlformats.org/officeDocument/2006/relationships/worksheet" Target="/xl/worksheets/sheet3.xml" Id="Re358e7f9f7d746ee" /><Relationship Type="http://schemas.openxmlformats.org/officeDocument/2006/relationships/worksheet" Target="/xl/worksheets/sheet4.xml" Id="R8d4cff2f0e7a4093" /><Relationship Type="http://schemas.openxmlformats.org/officeDocument/2006/relationships/worksheet" Target="/xl/worksheets/sheet5.xml" Id="R8453882551a9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37999725341797" hidden="0" customWidth="1"/>
    <x:col min="2" max="2" width="51.25" hidden="0" customWidth="1"/>
    <x:col min="3" max="3" width="26.75" hidden="0" customWidth="1"/>
    <x:col min="4" max="4" width="10.380000114440918" hidden="0" customWidth="1"/>
    <x:col min="5" max="5" width="10.630000114440918" hidden="0" customWidth="1"/>
    <x:col min="6" max="6" width="8" hidden="0" customWidth="1"/>
    <x:col min="7" max="7" width="6.25" hidden="0" customWidth="1"/>
    <x:col min="8" max="8" width="10.75" hidden="0" customWidth="1"/>
    <x:col min="9" max="9" width="8.880000114440918" hidden="0" customWidth="1"/>
    <x:col min="10" max="10" width="17.75" hidden="0" customWidth="1"/>
    <x:col min="11" max="11" width="34" hidden="0" customWidth="1"/>
  </x:cols>
  <x:sheetData>
    <x:row r="1" ht="19.200000762939453" hidden="0" customHeight="1">
      <x:c r="A1" s="3" t="str">
        <x:v>ЗАКАЗ №001 — АЛЕКСЕЙ, ДВЕРИ — ПОЛНЫЙ ДОКУМЕНТ</x:v>
      </x:c>
      <x:c r="B1" s="3"/>
      <x:c r="C1" s="3"/>
      <x:c r="D1" s="3"/>
      <x:c r="E1" s="3"/>
      <x:c r="F1" s="3"/>
      <x:c r="G1" s="3"/>
      <x:c r="H1" s="3"/>
      <x:c r="I1" s="3"/>
      <x:c r="J1" s="3"/>
      <x:c r="K1" s="18"/>
    </x:row>
    <x:row r="2">
      <x:c r="K2" s="19"/>
    </x:row>
    <x:row r="3" ht="15" hidden="0" customHeight="1">
      <x:c r="A3" t="str">
        <x:v>Дата учёта</x:v>
      </x:c>
      <x:c r="B3" s="11" t="n">
        <x:v>46218</x:v>
      </x:c>
      <x:c r="K3" s="19"/>
    </x:row>
    <x:row r="4" ht="15" hidden="0" customHeight="1">
      <x:c r="A4" t="str">
        <x:v>Статус</x:v>
      </x:c>
      <x:c r="B4" t="str">
        <x:v>Выполнен; клиент оплатил полностью</x:v>
      </x:c>
      <x:c r="K4" s="19"/>
    </x:row>
    <x:row r="5" ht="15" hidden="0" customHeight="1">
      <x:c r="A5" t="str">
        <x:v>Работа</x:v>
      </x:c>
      <x:c r="B5" t="str">
        <x:v>Только покраска; детали получены готовыми и фрезерованными</x:v>
      </x:c>
      <x:c r="K5" s="19"/>
    </x:row>
    <x:row r="6" ht="15" hidden="0" customHeight="1">
      <x:c r="A6" t="str">
        <x:v>Материал</x:v>
      </x:c>
      <x:c r="B6" t="str">
        <x:v>МДФ; толщина в этом заказе не указывается</x:v>
      </x:c>
      <x:c r="K6" s="19"/>
    </x:row>
    <x:row r="7" ht="15" hidden="0" customHeight="1">
      <x:c r="A7" t="str">
        <x:v>Цвет</x:v>
      </x:c>
      <x:c r="B7" t="str">
        <x:v>NCS S 1000-N</x:v>
      </x:c>
      <x:c r="K7" s="19"/>
    </x:row>
    <x:row r="8" ht="15" hidden="0" customHeight="1">
      <x:c r="A8" t="str">
        <x:v>Блеск</x:v>
      </x:c>
      <x:c r="B8" t="str">
        <x:v>10%</x:v>
      </x:c>
      <x:c r="K8" s="19"/>
    </x:row>
    <x:row r="9" ht="15" hidden="0" customHeight="1">
      <x:c r="A9" t="str">
        <x:v>Торцы</x:v>
      </x:c>
      <x:c r="B9" t="str">
        <x:v>Не учитываются</x:v>
      </x:c>
      <x:c r="K9" s="19"/>
    </x:row>
    <x:row r="10" ht="15" hidden="0" customHeight="1">
      <x:c r="A10" t="str">
        <x:v>Прямые детали</x:v>
      </x:c>
      <x:c r="B10" t="str">
        <x:v>Одна сторона; модерн</x:v>
      </x:c>
      <x:c r="K10" s="19"/>
    </x:row>
    <x:row r="11" ht="15" hidden="0" customHeight="1">
      <x:c r="A11" t="str">
        <x:v>Полотна</x:v>
      </x:c>
      <x:c r="B11" t="str">
        <x:v>Две стороны (×2)</x:v>
      </x:c>
      <x:c r="K11" s="19"/>
    </x:row>
    <x:row r="12" ht="15" hidden="0" customHeight="1">
      <x:c r="A12" t="str">
        <x:v>Примечание</x:v>
      </x:c>
      <x:c r="B12" t="str">
        <x:v>Цифровые размеры сверяются с исходными фотографиями</x:v>
      </x:c>
      <x:c r="K12" s="19"/>
    </x:row>
    <x:row r="13">
      <x:c r="K13" s="19"/>
    </x:row>
    <x:row r="14" ht="15" hidden="0" customHeight="1">
      <x:c r="A14" s="10" t="str">
        <x:v>ВСЕ РАЗМЕРЫ И ТЕХНИЧЕСКИЙ РАСЧЁТ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20"/>
    </x:row>
    <x:row r="15" ht="15" hidden="0" customHeight="1">
      <x:c r="A15" s="6" t="str">
        <x:v>№</x:v>
      </x:c>
      <x:c r="B15" s="7" t="str">
        <x:v>Группа</x:v>
      </x:c>
      <x:c r="C15" s="7" t="str">
        <x:v>Деталь</x:v>
      </x:c>
      <x:c r="D15" s="7" t="str">
        <x:v>Высота, мм</x:v>
      </x:c>
      <x:c r="E15" s="7" t="str">
        <x:v>Ширина, мм</x:v>
      </x:c>
      <x:c r="F15" s="7" t="str">
        <x:v>Кол-во</x:v>
      </x:c>
      <x:c r="G15" s="7" t="str">
        <x:v>Сторон</x:v>
      </x:c>
      <x:c r="H15" s="7" t="str">
        <x:v>Площадь, м²</x:v>
      </x:c>
      <x:c r="I15" s="7" t="str">
        <x:v>Ставка, ₸</x:v>
      </x:c>
      <x:c r="J15" s="7" t="str">
        <x:v>Техническая сумма, ₸</x:v>
      </x:c>
      <x:c r="K15" s="21" t="str">
        <x:v>Примечание</x:v>
      </x:c>
    </x:row>
    <x:row r="16" ht="15" hidden="0" customHeight="1">
      <x:c r="A16" t="n">
        <x:v>1</x:v>
      </x:c>
      <x:c r="B16" t="str">
        <x:v>Коробки</x:v>
      </x:c>
      <x:c r="C16" t="str">
        <x:v>Коробка</x:v>
      </x:c>
      <x:c r="D16" t="n">
        <x:v>1000</x:v>
      </x:c>
      <x:c r="E16" t="n">
        <x:v>168</x:v>
      </x:c>
      <x:c r="F16" t="n">
        <x:v>10</x:v>
      </x:c>
      <x:c r="G16" t="n">
        <x:v>1</x:v>
      </x:c>
      <x:c r="H16" s="12" t="n">
        <x:f>D16*E16*F16*G16/1000000</x:f>
        <x:v>1.68</x:v>
      </x:c>
      <x:c r="I16" s="12" t="n">
        <x:v>18000</x:v>
      </x:c>
      <x:c r="J16" s="12" t="n">
        <x:f>H16*I16</x:f>
        <x:v>30240</x:v>
      </x:c>
      <x:c r="K16" s="19" t="str">
        <x:v>Фото/цифровой список</x:v>
      </x:c>
    </x:row>
    <x:row r="17" ht="15" hidden="0" customHeight="1">
      <x:c r="A17" t="n">
        <x:v>2</x:v>
      </x:c>
      <x:c r="B17" t="str">
        <x:v>Коробки</x:v>
      </x:c>
      <x:c r="C17" t="str">
        <x:v>Коробка</x:v>
      </x:c>
      <x:c r="D17" t="n">
        <x:v>2150</x:v>
      </x:c>
      <x:c r="E17" t="n">
        <x:v>168</x:v>
      </x:c>
      <x:c r="F17" t="n">
        <x:v>20</x:v>
      </x:c>
      <x:c r="G17" t="n">
        <x:v>1</x:v>
      </x:c>
      <x:c r="H17" s="12" t="n">
        <x:f>D17*E17*F17*G17/1000000</x:f>
        <x:v>7.224</x:v>
      </x:c>
      <x:c r="I17" s="12" t="n">
        <x:v>18000</x:v>
      </x:c>
      <x:c r="J17" s="12" t="n">
        <x:f>H17*I17</x:f>
        <x:v>130032</x:v>
      </x:c>
      <x:c r="K17" s="19" t="str">
        <x:v>Фото/цифровой список</x:v>
      </x:c>
    </x:row>
    <x:row r="18" ht="15" hidden="0" customHeight="1">
      <x:c r="A18" t="n">
        <x:v>3</x:v>
      </x:c>
      <x:c r="B18" t="str">
        <x:v>Полотна</x:v>
      </x:c>
      <x:c r="C18" t="str">
        <x:v>Полотно</x:v>
      </x:c>
      <x:c r="D18" t="n">
        <x:v>2272</x:v>
      </x:c>
      <x:c r="E18" t="n">
        <x:v>804</x:v>
      </x:c>
      <x:c r="F18" t="n">
        <x:v>1</x:v>
      </x:c>
      <x:c r="G18" t="n">
        <x:v>2</x:v>
      </x:c>
      <x:c r="H18" s="12" t="n">
        <x:f>D18*E18*F18*G18/1000000</x:f>
        <x:v>3.653376</x:v>
      </x:c>
      <x:c r="I18" s="12" t="n">
        <x:v>25000</x:v>
      </x:c>
      <x:c r="J18" s="12" t="n">
        <x:f>H18*I18</x:f>
        <x:v>91334.40000000001</x:v>
      </x:c>
      <x:c r="K18" s="19" t="str">
        <x:v>Цифровой список; сверить с фото</x:v>
      </x:c>
    </x:row>
    <x:row r="19" ht="15" hidden="0" customHeight="1">
      <x:c r="A19" t="n">
        <x:v>4</x:v>
      </x:c>
      <x:c r="B19" t="str">
        <x:v>Полотна</x:v>
      </x:c>
      <x:c r="C19" t="str">
        <x:v>Полотно</x:v>
      </x:c>
      <x:c r="D19" t="n">
        <x:v>2272</x:v>
      </x:c>
      <x:c r="E19" t="n">
        <x:v>674</x:v>
      </x:c>
      <x:c r="F19" t="n">
        <x:v>1</x:v>
      </x:c>
      <x:c r="G19" t="n">
        <x:v>2</x:v>
      </x:c>
      <x:c r="H19" s="12" t="n">
        <x:f>D19*E19*F19*G19/1000000</x:f>
        <x:v>3.062656</x:v>
      </x:c>
      <x:c r="I19" s="12" t="n">
        <x:v>25000</x:v>
      </x:c>
      <x:c r="J19" s="12" t="n">
        <x:f>H19*I19</x:f>
        <x:v>76566.4</x:v>
      </x:c>
      <x:c r="K19" s="19" t="str">
        <x:v>Цифровой список; сверить с фото</x:v>
      </x:c>
    </x:row>
    <x:row r="20" ht="15" hidden="0" customHeight="1">
      <x:c r="A20" t="n">
        <x:v>5</x:v>
      </x:c>
      <x:c r="B20" t="str">
        <x:v>Полотна</x:v>
      </x:c>
      <x:c r="C20" t="str">
        <x:v>Полотно</x:v>
      </x:c>
      <x:c r="D20" t="n">
        <x:v>2272</x:v>
      </x:c>
      <x:c r="E20" t="n">
        <x:v>644</x:v>
      </x:c>
      <x:c r="F20" t="n">
        <x:v>1</x:v>
      </x:c>
      <x:c r="G20" t="n">
        <x:v>2</x:v>
      </x:c>
      <x:c r="H20" s="12" t="n">
        <x:f>D20*E20*F20*G20/1000000</x:f>
        <x:v>2.926336</x:v>
      </x:c>
      <x:c r="I20" s="12" t="n">
        <x:v>25000</x:v>
      </x:c>
      <x:c r="J20" s="12" t="n">
        <x:f>H20*I20</x:f>
        <x:v>73158.4</x:v>
      </x:c>
      <x:c r="K20" s="19" t="str">
        <x:v>Цифровой список; сверить с фото</x:v>
      </x:c>
    </x:row>
    <x:row r="21" ht="15" hidden="0" customHeight="1">
      <x:c r="A21" t="n">
        <x:v>6</x:v>
      </x:c>
      <x:c r="B21" t="str">
        <x:v>Полотна</x:v>
      </x:c>
      <x:c r="C21" t="str">
        <x:v>Полотно</x:v>
      </x:c>
      <x:c r="D21" t="n">
        <x:v>2000</x:v>
      </x:c>
      <x:c r="E21" t="n">
        <x:v>814</x:v>
      </x:c>
      <x:c r="F21" t="n">
        <x:v>1</x:v>
      </x:c>
      <x:c r="G21" t="n">
        <x:v>2</x:v>
      </x:c>
      <x:c r="H21" s="12" t="n">
        <x:f>D21*E21*F21*G21/1000000</x:f>
        <x:v>3.256</x:v>
      </x:c>
      <x:c r="I21" s="12" t="n">
        <x:v>25000</x:v>
      </x:c>
      <x:c r="J21" s="12" t="n">
        <x:f>H21*I21</x:f>
        <x:v>81400</x:v>
      </x:c>
      <x:c r="K21" s="19" t="str">
        <x:v>Цифровой список</x:v>
      </x:c>
    </x:row>
    <x:row r="22" ht="15" hidden="0" customHeight="1">
      <x:c r="A22" t="n">
        <x:v>7</x:v>
      </x:c>
      <x:c r="B22" t="str">
        <x:v>Полотна</x:v>
      </x:c>
      <x:c r="C22" t="str">
        <x:v>Полотно</x:v>
      </x:c>
      <x:c r="D22" t="n">
        <x:v>2000</x:v>
      </x:c>
      <x:c r="E22" t="n">
        <x:v>814</x:v>
      </x:c>
      <x:c r="F22" t="n">
        <x:v>1</x:v>
      </x:c>
      <x:c r="G22" t="n">
        <x:v>2</x:v>
      </x:c>
      <x:c r="H22" s="12" t="n">
        <x:f>D22*E22*F22*G22/1000000</x:f>
        <x:v>3.256</x:v>
      </x:c>
      <x:c r="I22" s="12" t="n">
        <x:v>25000</x:v>
      </x:c>
      <x:c r="J22" s="12" t="n">
        <x:f>H22*I22</x:f>
        <x:v>81400</x:v>
      </x:c>
      <x:c r="K22" s="19" t="str">
        <x:v>Цифровой список</x:v>
      </x:c>
    </x:row>
    <x:row r="23" ht="15" hidden="0" customHeight="1">
      <x:c r="A23" t="n">
        <x:v>8</x:v>
      </x:c>
      <x:c r="B23" t="str">
        <x:v>Полотна</x:v>
      </x:c>
      <x:c r="C23" t="str">
        <x:v>Полотно</x:v>
      </x:c>
      <x:c r="D23" t="n">
        <x:v>2000</x:v>
      </x:c>
      <x:c r="E23" t="n">
        <x:v>814</x:v>
      </x:c>
      <x:c r="F23" t="n">
        <x:v>1</x:v>
      </x:c>
      <x:c r="G23" t="n">
        <x:v>2</x:v>
      </x:c>
      <x:c r="H23" s="12" t="n">
        <x:f>D23*E23*F23*G23/1000000</x:f>
        <x:v>3.256</x:v>
      </x:c>
      <x:c r="I23" s="12" t="n">
        <x:v>25000</x:v>
      </x:c>
      <x:c r="J23" s="12" t="n">
        <x:f>H23*I23</x:f>
        <x:v>81400</x:v>
      </x:c>
      <x:c r="K23" s="19" t="str">
        <x:v>Цифровой список</x:v>
      </x:c>
    </x:row>
    <x:row r="24" ht="15" hidden="0" customHeight="1">
      <x:c r="A24" t="n">
        <x:v>9</x:v>
      </x:c>
      <x:c r="B24" t="str">
        <x:v>Полотна</x:v>
      </x:c>
      <x:c r="C24" t="str">
        <x:v>Полотно</x:v>
      </x:c>
      <x:c r="D24" t="n">
        <x:v>2000</x:v>
      </x:c>
      <x:c r="E24" t="n">
        <x:v>814</x:v>
      </x:c>
      <x:c r="F24" t="n">
        <x:v>1</x:v>
      </x:c>
      <x:c r="G24" t="n">
        <x:v>2</x:v>
      </x:c>
      <x:c r="H24" s="12" t="n">
        <x:f>D24*E24*F24*G24/1000000</x:f>
        <x:v>3.256</x:v>
      </x:c>
      <x:c r="I24" s="12" t="n">
        <x:v>25000</x:v>
      </x:c>
      <x:c r="J24" s="12" t="n">
        <x:f>H24*I24</x:f>
        <x:v>81400</x:v>
      </x:c>
      <x:c r="K24" s="19" t="str">
        <x:v>Цифровой список</x:v>
      </x:c>
    </x:row>
    <x:row r="25" ht="15" hidden="0" customHeight="1">
      <x:c r="A25" t="n">
        <x:v>10</x:v>
      </x:c>
      <x:c r="B25" t="str">
        <x:v>Полотна</x:v>
      </x:c>
      <x:c r="C25" t="str">
        <x:v>Полотно</x:v>
      </x:c>
      <x:c r="D25" t="n">
        <x:v>1992</x:v>
      </x:c>
      <x:c r="E25" t="n">
        <x:v>814</x:v>
      </x:c>
      <x:c r="F25" t="n">
        <x:v>1</x:v>
      </x:c>
      <x:c r="G25" t="n">
        <x:v>2</x:v>
      </x:c>
      <x:c r="H25" s="12" t="n">
        <x:f>D25*E25*F25*G25/1000000</x:f>
        <x:v>3.242976</x:v>
      </x:c>
      <x:c r="I25" s="12" t="n">
        <x:v>25000</x:v>
      </x:c>
      <x:c r="J25" s="12" t="n">
        <x:f>H25*I25</x:f>
        <x:v>81074.40000000001</x:v>
      </x:c>
      <x:c r="K25" s="19" t="str">
        <x:v>Цифровой список; рукопись неясна</x:v>
      </x:c>
    </x:row>
    <x:row r="26" ht="15" hidden="0" customHeight="1">
      <x:c r="A26" t="n">
        <x:v>11</x:v>
      </x:c>
      <x:c r="B26" t="str">
        <x:v>Полотна</x:v>
      </x:c>
      <x:c r="C26" t="str">
        <x:v>Полотно</x:v>
      </x:c>
      <x:c r="D26" t="n">
        <x:v>2000</x:v>
      </x:c>
      <x:c r="E26" t="n">
        <x:v>814</x:v>
      </x:c>
      <x:c r="F26" t="n">
        <x:v>1</x:v>
      </x:c>
      <x:c r="G26" t="n">
        <x:v>2</x:v>
      </x:c>
      <x:c r="H26" s="12" t="n">
        <x:f>D26*E26*F26*G26/1000000</x:f>
        <x:v>3.256</x:v>
      </x:c>
      <x:c r="I26" s="12" t="n">
        <x:v>25000</x:v>
      </x:c>
      <x:c r="J26" s="12" t="n">
        <x:f>H26*I26</x:f>
        <x:v>81400</x:v>
      </x:c>
      <x:c r="K26" s="19" t="str">
        <x:v>Цифровой список</x:v>
      </x:c>
    </x:row>
    <x:row r="27" ht="15" hidden="0" customHeight="1">
      <x:c r="A27" t="n">
        <x:v>12</x:v>
      </x:c>
      <x:c r="B27" t="str">
        <x:v>Полотна</x:v>
      </x:c>
      <x:c r="C27" t="str">
        <x:v>Полотно</x:v>
      </x:c>
      <x:c r="D27" t="n">
        <x:v>2000</x:v>
      </x:c>
      <x:c r="E27" t="n">
        <x:v>814</x:v>
      </x:c>
      <x:c r="F27" t="n">
        <x:v>1</x:v>
      </x:c>
      <x:c r="G27" t="n">
        <x:v>2</x:v>
      </x:c>
      <x:c r="H27" s="12" t="n">
        <x:f>D27*E27*F27*G27/1000000</x:f>
        <x:v>3.256</x:v>
      </x:c>
      <x:c r="I27" s="12" t="n">
        <x:v>25000</x:v>
      </x:c>
      <x:c r="J27" s="12" t="n">
        <x:f>H27*I27</x:f>
        <x:v>81400</x:v>
      </x:c>
      <x:c r="K27" s="19" t="str">
        <x:v>Цифровой список</x:v>
      </x:c>
    </x:row>
    <x:row r="28" ht="15" hidden="0" customHeight="1">
      <x:c r="A28" t="n">
        <x:v>13</x:v>
      </x:c>
      <x:c r="B28" t="str">
        <x:v>Доборы</x:v>
      </x:c>
      <x:c r="C28" t="str">
        <x:v>Добор</x:v>
      </x:c>
      <x:c r="D28" t="n">
        <x:v>2370</x:v>
      </x:c>
      <x:c r="E28" t="n">
        <x:v>340</x:v>
      </x:c>
      <x:c r="F28" t="n">
        <x:v>2</x:v>
      </x:c>
      <x:c r="G28" t="n">
        <x:v>1</x:v>
      </x:c>
      <x:c r="H28" s="12" t="n">
        <x:f>D28*E28*F28*G28/1000000</x:f>
        <x:v>1.6116</x:v>
      </x:c>
      <x:c r="I28" s="12" t="n">
        <x:v>18000</x:v>
      </x:c>
      <x:c r="J28" s="12" t="n">
        <x:f>H28*I28</x:f>
        <x:v>29008.8</x:v>
      </x:c>
      <x:c r="K28" s="19" t="str">
        <x:v>Комплект 1, боковые</x:v>
      </x:c>
    </x:row>
    <x:row r="29" ht="15" hidden="0" customHeight="1">
      <x:c r="A29" t="n">
        <x:v>14</x:v>
      </x:c>
      <x:c r="B29" t="str">
        <x:v>Доборы</x:v>
      </x:c>
      <x:c r="C29" t="str">
        <x:v>Добор</x:v>
      </x:c>
      <x:c r="D29" t="n">
        <x:v>980</x:v>
      </x:c>
      <x:c r="E29" t="n">
        <x:v>340</x:v>
      </x:c>
      <x:c r="F29" t="n">
        <x:v>1</x:v>
      </x:c>
      <x:c r="G29" t="n">
        <x:v>1</x:v>
      </x:c>
      <x:c r="H29" s="12" t="n">
        <x:f>D29*E29*F29*G29/1000000</x:f>
        <x:v>0.3332</x:v>
      </x:c>
      <x:c r="I29" s="12" t="n">
        <x:v>18000</x:v>
      </x:c>
      <x:c r="J29" s="12" t="n">
        <x:f>H29*I29</x:f>
        <x:v>5997.6</x:v>
      </x:c>
      <x:c r="K29" s="19" t="str">
        <x:v>Комплект 1, верхняя</x:v>
      </x:c>
    </x:row>
    <x:row r="30" ht="15" hidden="0" customHeight="1">
      <x:c r="A30" t="n">
        <x:v>15</x:v>
      </x:c>
      <x:c r="B30" t="str">
        <x:v>Доборы</x:v>
      </x:c>
      <x:c r="C30" t="str">
        <x:v>Добор</x:v>
      </x:c>
      <x:c r="D30" t="n">
        <x:v>2370</x:v>
      </x:c>
      <x:c r="E30" t="n">
        <x:v>340</x:v>
      </x:c>
      <x:c r="F30" t="n">
        <x:v>2</x:v>
      </x:c>
      <x:c r="G30" t="n">
        <x:v>1</x:v>
      </x:c>
      <x:c r="H30" s="12" t="n">
        <x:f>D30*E30*F30*G30/1000000</x:f>
        <x:v>1.6116</x:v>
      </x:c>
      <x:c r="I30" s="12" t="n">
        <x:v>18000</x:v>
      </x:c>
      <x:c r="J30" s="12" t="n">
        <x:f>H30*I30</x:f>
        <x:v>29008.8</x:v>
      </x:c>
      <x:c r="K30" s="19" t="str">
        <x:v>Комплект 2, боковые</x:v>
      </x:c>
    </x:row>
    <x:row r="31" ht="15" hidden="0" customHeight="1">
      <x:c r="A31" t="n">
        <x:v>16</x:v>
      </x:c>
      <x:c r="B31" t="str">
        <x:v>Доборы</x:v>
      </x:c>
      <x:c r="C31" t="str">
        <x:v>Добор</x:v>
      </x:c>
      <x:c r="D31" t="n">
        <x:v>850</x:v>
      </x:c>
      <x:c r="E31" t="n">
        <x:v>340</x:v>
      </x:c>
      <x:c r="F31" t="n">
        <x:v>1</x:v>
      </x:c>
      <x:c r="G31" t="n">
        <x:v>1</x:v>
      </x:c>
      <x:c r="H31" s="12" t="n">
        <x:f>D31*E31*F31*G31/1000000</x:f>
        <x:v>0.289</x:v>
      </x:c>
      <x:c r="I31" s="12" t="n">
        <x:v>18000</x:v>
      </x:c>
      <x:c r="J31" s="12" t="n">
        <x:f>H31*I31</x:f>
        <x:v>5202</x:v>
      </x:c>
      <x:c r="K31" s="19" t="str">
        <x:v>Комплект 2, верхняя</x:v>
      </x:c>
    </x:row>
    <x:row r="32" ht="15" hidden="0" customHeight="1">
      <x:c r="A32" t="n">
        <x:v>17</x:v>
      </x:c>
      <x:c r="B32" t="str">
        <x:v>Доборы</x:v>
      </x:c>
      <x:c r="C32" t="str">
        <x:v>Добор</x:v>
      </x:c>
      <x:c r="D32" t="n">
        <x:v>2370</x:v>
      </x:c>
      <x:c r="E32" t="n">
        <x:v>190</x:v>
      </x:c>
      <x:c r="F32" t="n">
        <x:v>2</x:v>
      </x:c>
      <x:c r="G32" t="n">
        <x:v>1</x:v>
      </x:c>
      <x:c r="H32" s="12" t="n">
        <x:f>D32*E32*F32*G32/1000000</x:f>
        <x:v>0.9006</x:v>
      </x:c>
      <x:c r="I32" s="12" t="n">
        <x:v>18000</x:v>
      </x:c>
      <x:c r="J32" s="12" t="n">
        <x:f>H32*I32</x:f>
        <x:v>16210.8</x:v>
      </x:c>
      <x:c r="K32" s="19" t="str">
        <x:v>Комплект 3, боковые</x:v>
      </x:c>
    </x:row>
    <x:row r="33" ht="15" hidden="0" customHeight="1">
      <x:c r="A33" t="n">
        <x:v>18</x:v>
      </x:c>
      <x:c r="B33" t="str">
        <x:v>Доборы</x:v>
      </x:c>
      <x:c r="C33" t="str">
        <x:v>Добор</x:v>
      </x:c>
      <x:c r="D33" t="n">
        <x:v>820</x:v>
      </x:c>
      <x:c r="E33" t="n">
        <x:v>190</x:v>
      </x:c>
      <x:c r="F33" t="n">
        <x:v>1</x:v>
      </x:c>
      <x:c r="G33" t="n">
        <x:v>1</x:v>
      </x:c>
      <x:c r="H33" s="12" t="n">
        <x:f>D33*E33*F33*G33/1000000</x:f>
        <x:v>0.1558</x:v>
      </x:c>
      <x:c r="I33" s="12" t="n">
        <x:v>18000</x:v>
      </x:c>
      <x:c r="J33" s="12" t="n">
        <x:f>H33*I33</x:f>
        <x:v>2804.4</x:v>
      </x:c>
      <x:c r="K33" s="19" t="str">
        <x:v>Комплект 3, верхняя</x:v>
      </x:c>
    </x:row>
    <x:row r="34" ht="15" hidden="0" customHeight="1">
      <x:c r="A34" t="n">
        <x:v>19</x:v>
      </x:c>
      <x:c r="B34" t="str">
        <x:v>Доборы</x:v>
      </x:c>
      <x:c r="C34" t="str">
        <x:v>Добор</x:v>
      </x:c>
      <x:c r="D34" t="n">
        <x:v>2120</x:v>
      </x:c>
      <x:c r="E34" t="n">
        <x:v>360</x:v>
      </x:c>
      <x:c r="F34" t="n">
        <x:v>2</x:v>
      </x:c>
      <x:c r="G34" t="n">
        <x:v>1</x:v>
      </x:c>
      <x:c r="H34" s="12" t="n">
        <x:f>D34*E34*F34*G34/1000000</x:f>
        <x:v>1.5264</x:v>
      </x:c>
      <x:c r="I34" s="12" t="n">
        <x:v>18000</x:v>
      </x:c>
      <x:c r="J34" s="12" t="n">
        <x:f>H34*I34</x:f>
        <x:v>27475.2</x:v>
      </x:c>
      <x:c r="K34" s="19" t="str">
        <x:v>Комплект 4, боковые</x:v>
      </x:c>
    </x:row>
    <x:row r="35" ht="15" hidden="0" customHeight="1">
      <x:c r="A35" t="n">
        <x:v>20</x:v>
      </x:c>
      <x:c r="B35" t="str">
        <x:v>Доборы</x:v>
      </x:c>
      <x:c r="C35" t="str">
        <x:v>Добор</x:v>
      </x:c>
      <x:c r="D35" t="n">
        <x:v>1000</x:v>
      </x:c>
      <x:c r="E35" t="n">
        <x:v>360</x:v>
      </x:c>
      <x:c r="F35" t="n">
        <x:v>1</x:v>
      </x:c>
      <x:c r="G35" t="n">
        <x:v>1</x:v>
      </x:c>
      <x:c r="H35" s="12" t="n">
        <x:f>D35*E35*F35*G35/1000000</x:f>
        <x:v>0.36</x:v>
      </x:c>
      <x:c r="I35" s="12" t="n">
        <x:v>18000</x:v>
      </x:c>
      <x:c r="J35" s="12" t="n">
        <x:f>H35*I35</x:f>
        <x:v>6480</x:v>
      </x:c>
      <x:c r="K35" s="19" t="str">
        <x:v>Комплект 4, верхняя</x:v>
      </x:c>
    </x:row>
    <x:row r="36" ht="15" hidden="0" customHeight="1">
      <x:c r="A36" t="n">
        <x:v>21</x:v>
      </x:c>
      <x:c r="B36" t="str">
        <x:v>Доборы</x:v>
      </x:c>
      <x:c r="C36" t="str">
        <x:v>Добор</x:v>
      </x:c>
      <x:c r="D36" t="n">
        <x:v>2120</x:v>
      </x:c>
      <x:c r="E36" t="n">
        <x:v>330</x:v>
      </x:c>
      <x:c r="F36" t="n">
        <x:v>2</x:v>
      </x:c>
      <x:c r="G36" t="n">
        <x:v>1</x:v>
      </x:c>
      <x:c r="H36" s="12" t="n">
        <x:f>D36*E36*F36*G36/1000000</x:f>
        <x:v>1.3992</x:v>
      </x:c>
      <x:c r="I36" s="12" t="n">
        <x:v>18000</x:v>
      </x:c>
      <x:c r="J36" s="12" t="n">
        <x:f>H36*I36</x:f>
        <x:v>25185.6</x:v>
      </x:c>
      <x:c r="K36" s="19" t="str">
        <x:v>Комплект 5, боковые</x:v>
      </x:c>
    </x:row>
    <x:row r="37" ht="15" hidden="0" customHeight="1">
      <x:c r="A37" t="n">
        <x:v>22</x:v>
      </x:c>
      <x:c r="B37" t="str">
        <x:v>Доборы</x:v>
      </x:c>
      <x:c r="C37" t="str">
        <x:v>Добор</x:v>
      </x:c>
      <x:c r="D37" t="n">
        <x:v>1000</x:v>
      </x:c>
      <x:c r="E37" t="n">
        <x:v>330</x:v>
      </x:c>
      <x:c r="F37" t="n">
        <x:v>1</x:v>
      </x:c>
      <x:c r="G37" t="n">
        <x:v>1</x:v>
      </x:c>
      <x:c r="H37" s="12" t="n">
        <x:f>D37*E37*F37*G37/1000000</x:f>
        <x:v>0.33</x:v>
      </x:c>
      <x:c r="I37" s="12" t="n">
        <x:v>18000</x:v>
      </x:c>
      <x:c r="J37" s="12" t="n">
        <x:f>H37*I37</x:f>
        <x:v>5940</x:v>
      </x:c>
      <x:c r="K37" s="19" t="str">
        <x:v>Комплект 5, верхняя</x:v>
      </x:c>
    </x:row>
    <x:row r="38" ht="15" hidden="0" customHeight="1">
      <x:c r="A38" t="n">
        <x:v>23</x:v>
      </x:c>
      <x:c r="B38" t="str">
        <x:v>Доборы</x:v>
      </x:c>
      <x:c r="C38" t="str">
        <x:v>Добор</x:v>
      </x:c>
      <x:c r="D38" t="n">
        <x:v>2120</x:v>
      </x:c>
      <x:c r="E38" t="n">
        <x:v>340</x:v>
      </x:c>
      <x:c r="F38" t="n">
        <x:v>2</x:v>
      </x:c>
      <x:c r="G38" t="n">
        <x:v>1</x:v>
      </x:c>
      <x:c r="H38" s="12" t="n">
        <x:f>D38*E38*F38*G38/1000000</x:f>
        <x:v>1.4416</x:v>
      </x:c>
      <x:c r="I38" s="12" t="n">
        <x:v>18000</x:v>
      </x:c>
      <x:c r="J38" s="12" t="n">
        <x:f>H38*I38</x:f>
        <x:v>25948.8</x:v>
      </x:c>
      <x:c r="K38" s="19" t="str">
        <x:v>Комплект 6, боковые</x:v>
      </x:c>
    </x:row>
    <x:row r="39" ht="15" hidden="0" customHeight="1">
      <x:c r="A39" t="n">
        <x:v>24</x:v>
      </x:c>
      <x:c r="B39" t="str">
        <x:v>Доборы</x:v>
      </x:c>
      <x:c r="C39" t="str">
        <x:v>Добор</x:v>
      </x:c>
      <x:c r="D39" t="n">
        <x:v>1000</x:v>
      </x:c>
      <x:c r="E39" t="n">
        <x:v>340</x:v>
      </x:c>
      <x:c r="F39" t="n">
        <x:v>1</x:v>
      </x:c>
      <x:c r="G39" t="n">
        <x:v>1</x:v>
      </x:c>
      <x:c r="H39" s="12" t="n">
        <x:f>D39*E39*F39*G39/1000000</x:f>
        <x:v>0.34</x:v>
      </x:c>
      <x:c r="I39" s="12" t="n">
        <x:v>18000</x:v>
      </x:c>
      <x:c r="J39" s="12" t="n">
        <x:f>H39*I39</x:f>
        <x:v>6120</x:v>
      </x:c>
      <x:c r="K39" s="19" t="str">
        <x:v>Комплект 6, верхняя</x:v>
      </x:c>
    </x:row>
    <x:row r="40" ht="15" hidden="0" customHeight="1">
      <x:c r="A40" t="n">
        <x:v>25</x:v>
      </x:c>
      <x:c r="B40" t="str">
        <x:v>Доборы</x:v>
      </x:c>
      <x:c r="C40" t="str">
        <x:v>Добор</x:v>
      </x:c>
      <x:c r="D40" t="n">
        <x:v>2120</x:v>
      </x:c>
      <x:c r="E40" t="n">
        <x:v>340</x:v>
      </x:c>
      <x:c r="F40" t="n">
        <x:v>2</x:v>
      </x:c>
      <x:c r="G40" t="n">
        <x:v>1</x:v>
      </x:c>
      <x:c r="H40" s="12" t="n">
        <x:f>D40*E40*F40*G40/1000000</x:f>
        <x:v>1.4416</x:v>
      </x:c>
      <x:c r="I40" s="12" t="n">
        <x:v>18000</x:v>
      </x:c>
      <x:c r="J40" s="12" t="n">
        <x:f>H40*I40</x:f>
        <x:v>25948.8</x:v>
      </x:c>
      <x:c r="K40" s="19" t="str">
        <x:v>Комплект 7, боковые</x:v>
      </x:c>
    </x:row>
    <x:row r="41" ht="15" hidden="0" customHeight="1">
      <x:c r="A41" t="n">
        <x:v>26</x:v>
      </x:c>
      <x:c r="B41" t="str">
        <x:v>Доборы</x:v>
      </x:c>
      <x:c r="C41" t="str">
        <x:v>Добор</x:v>
      </x:c>
      <x:c r="D41" t="n">
        <x:v>1000</x:v>
      </x:c>
      <x:c r="E41" t="n">
        <x:v>340</x:v>
      </x:c>
      <x:c r="F41" t="n">
        <x:v>1</x:v>
      </x:c>
      <x:c r="G41" t="n">
        <x:v>1</x:v>
      </x:c>
      <x:c r="H41" s="12" t="n">
        <x:f>D41*E41*F41*G41/1000000</x:f>
        <x:v>0.34</x:v>
      </x:c>
      <x:c r="I41" s="12" t="n">
        <x:v>18000</x:v>
      </x:c>
      <x:c r="J41" s="12" t="n">
        <x:f>H41*I41</x:f>
        <x:v>6120</x:v>
      </x:c>
      <x:c r="K41" s="19" t="str">
        <x:v>Комплект 7, верхняя</x:v>
      </x:c>
    </x:row>
    <x:row r="42" ht="15" hidden="0" customHeight="1">
      <x:c r="A42" t="n">
        <x:v>27</x:v>
      </x:c>
      <x:c r="B42" t="str">
        <x:v>Доборы</x:v>
      </x:c>
      <x:c r="C42" t="str">
        <x:v>Добор</x:v>
      </x:c>
      <x:c r="D42" t="n">
        <x:v>2120</x:v>
      </x:c>
      <x:c r="E42" t="n">
        <x:v>190</x:v>
      </x:c>
      <x:c r="F42" t="n">
        <x:v>2</x:v>
      </x:c>
      <x:c r="G42" t="n">
        <x:v>1</x:v>
      </x:c>
      <x:c r="H42" s="12" t="n">
        <x:f>D42*E42*F42*G42/1000000</x:f>
        <x:v>0.8056</x:v>
      </x:c>
      <x:c r="I42" s="12" t="n">
        <x:v>18000</x:v>
      </x:c>
      <x:c r="J42" s="12" t="n">
        <x:f>H42*I42</x:f>
        <x:v>14500.8</x:v>
      </x:c>
      <x:c r="K42" s="19" t="str">
        <x:v>Комплект 8, боковые</x:v>
      </x:c>
    </x:row>
    <x:row r="43" ht="15" hidden="0" customHeight="1">
      <x:c r="A43" t="n">
        <x:v>28</x:v>
      </x:c>
      <x:c r="B43" t="str">
        <x:v>Доборы</x:v>
      </x:c>
      <x:c r="C43" t="str">
        <x:v>Добор</x:v>
      </x:c>
      <x:c r="D43" t="n">
        <x:v>1000</x:v>
      </x:c>
      <x:c r="E43" t="n">
        <x:v>190</x:v>
      </x:c>
      <x:c r="F43" t="n">
        <x:v>1</x:v>
      </x:c>
      <x:c r="G43" t="n">
        <x:v>1</x:v>
      </x:c>
      <x:c r="H43" s="12" t="n">
        <x:f>D43*E43*F43*G43/1000000</x:f>
        <x:v>0.19</x:v>
      </x:c>
      <x:c r="I43" s="12" t="n">
        <x:v>18000</x:v>
      </x:c>
      <x:c r="J43" s="12" t="n">
        <x:f>H43*I43</x:f>
        <x:v>3420</x:v>
      </x:c>
      <x:c r="K43" s="19" t="str">
        <x:v>Комплект 8, верхняя</x:v>
      </x:c>
    </x:row>
    <x:row r="44" ht="15" hidden="0" customHeight="1">
      <x:c r="A44" t="n">
        <x:v>29</x:v>
      </x:c>
      <x:c r="B44" t="str">
        <x:v>Доборы</x:v>
      </x:c>
      <x:c r="C44" t="str">
        <x:v>Добор</x:v>
      </x:c>
      <x:c r="D44" t="n">
        <x:v>2120</x:v>
      </x:c>
      <x:c r="E44" t="n">
        <x:v>340</x:v>
      </x:c>
      <x:c r="F44" t="n">
        <x:v>2</x:v>
      </x:c>
      <x:c r="G44" t="n">
        <x:v>1</x:v>
      </x:c>
      <x:c r="H44" s="12" t="n">
        <x:f>D44*E44*F44*G44/1000000</x:f>
        <x:v>1.4416</x:v>
      </x:c>
      <x:c r="I44" s="12" t="n">
        <x:v>18000</x:v>
      </x:c>
      <x:c r="J44" s="12" t="n">
        <x:f>H44*I44</x:f>
        <x:v>25948.8</x:v>
      </x:c>
      <x:c r="K44" s="19" t="str">
        <x:v>Комплект 9, боковые</x:v>
      </x:c>
    </x:row>
    <x:row r="45" ht="15" hidden="0" customHeight="1">
      <x:c r="A45" t="n">
        <x:v>30</x:v>
      </x:c>
      <x:c r="B45" t="str">
        <x:v>Доборы</x:v>
      </x:c>
      <x:c r="C45" t="str">
        <x:v>Добор</x:v>
      </x:c>
      <x:c r="D45" t="n">
        <x:v>1000</x:v>
      </x:c>
      <x:c r="E45" t="n">
        <x:v>340</x:v>
      </x:c>
      <x:c r="F45" t="n">
        <x:v>1</x:v>
      </x:c>
      <x:c r="G45" t="n">
        <x:v>1</x:v>
      </x:c>
      <x:c r="H45" s="12" t="n">
        <x:f>D45*E45*F45*G45/1000000</x:f>
        <x:v>0.34</x:v>
      </x:c>
      <x:c r="I45" s="12" t="n">
        <x:v>18000</x:v>
      </x:c>
      <x:c r="J45" s="12" t="n">
        <x:f>H45*I45</x:f>
        <x:v>6120</x:v>
      </x:c>
      <x:c r="K45" s="19" t="str">
        <x:v>Комплект 9, верхняя</x:v>
      </x:c>
    </x:row>
    <x:row r="46" ht="15" hidden="0" customHeight="1">
      <x:c r="A46" t="n">
        <x:v>31</x:v>
      </x:c>
      <x:c r="B46" t="str">
        <x:v>Доборы</x:v>
      </x:c>
      <x:c r="C46" t="str">
        <x:v>Добор</x:v>
      </x:c>
      <x:c r="D46" t="n">
        <x:v>2120</x:v>
      </x:c>
      <x:c r="E46" t="n">
        <x:v>290</x:v>
      </x:c>
      <x:c r="F46" t="n">
        <x:v>2</x:v>
      </x:c>
      <x:c r="G46" t="n">
        <x:v>1</x:v>
      </x:c>
      <x:c r="H46" s="12" t="n">
        <x:f>D46*E46*F46*G46/1000000</x:f>
        <x:v>1.2296</x:v>
      </x:c>
      <x:c r="I46" s="12" t="n">
        <x:v>18000</x:v>
      </x:c>
      <x:c r="J46" s="12" t="n">
        <x:f>H46*I46</x:f>
        <x:v>22132.8</x:v>
      </x:c>
      <x:c r="K46" s="19" t="str">
        <x:v>Комплект 10, боковые</x:v>
      </x:c>
    </x:row>
    <x:row r="47" ht="15" hidden="0" customHeight="1">
      <x:c r="A47" t="n">
        <x:v>32</x:v>
      </x:c>
      <x:c r="B47" t="str">
        <x:v>Доборы</x:v>
      </x:c>
      <x:c r="C47" t="str">
        <x:v>Добор</x:v>
      </x:c>
      <x:c r="D47" t="n">
        <x:v>1000</x:v>
      </x:c>
      <x:c r="E47" t="n">
        <x:v>290</x:v>
      </x:c>
      <x:c r="F47" t="n">
        <x:v>1</x:v>
      </x:c>
      <x:c r="G47" t="n">
        <x:v>1</x:v>
      </x:c>
      <x:c r="H47" s="12" t="n">
        <x:f>D47*E47*F47*G47/1000000</x:f>
        <x:v>0.29</x:v>
      </x:c>
      <x:c r="I47" s="12" t="n">
        <x:v>18000</x:v>
      </x:c>
      <x:c r="J47" s="12" t="n">
        <x:f>H47*I47</x:f>
        <x:v>5220</x:v>
      </x:c>
      <x:c r="K47" s="19" t="str">
        <x:v>Комплект 10, верхняя</x:v>
      </x:c>
    </x:row>
    <x:row r="48">
      <x:c r="K48" s="19"/>
    </x:row>
    <x:row r="49" ht="15" hidden="0" customHeight="1">
      <x:c r="A49" t="str">
        <x:v>Технический итог по деталям</x:v>
      </x:c>
      <x:c r="H49" t="n">
        <x:f>SUM(H16:H47)</x:f>
        <x:v>57.70274400000001</x:v>
      </x:c>
      <x:c r="J49" t="n">
        <x:f>SUM(J16:J47)</x:f>
        <x:v>1265598.8000000003</x:v>
      </x:c>
      <x:c r="K49" s="19"/>
    </x:row>
    <x:row r="50">
      <x:c r="K50" s="19"/>
    </x:row>
    <x:row r="51" ht="15" hidden="0" customHeight="1">
      <x:c r="A51" s="10" t="str">
        <x:v>НАЛИЧНИКИ — ПОГОННЫЕ МЕТРЫ</x:v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20"/>
    </x:row>
    <x:row r="52" ht="15" hidden="0" customHeight="1">
      <x:c r="A52" t="str">
        <x:v>Позиция</x:v>
      </x:c>
      <x:c r="B52" t="str">
        <x:v>Длина, м</x:v>
      </x:c>
      <x:c r="C52" t="str">
        <x:v>Количество</x:v>
      </x:c>
      <x:c r="D52" t="str">
        <x:v>Итого, пог. м</x:v>
      </x:c>
      <x:c r="E52" t="str">
        <x:v>Ставка, ₸/м</x:v>
      </x:c>
      <x:c r="F52" t="str">
        <x:v>Сумма, ₸</x:v>
      </x:c>
      <x:c r="K52" s="19"/>
    </x:row>
    <x:row r="53" ht="15" hidden="0" customHeight="1">
      <x:c r="A53" t="str">
        <x:v>Наличник</x:v>
      </x:c>
      <x:c r="B53" s="13" t="n">
        <x:v>2.25</x:v>
      </x:c>
      <x:c r="C53" s="13" t="n">
        <x:v>32</x:v>
      </x:c>
      <x:c r="D53" s="13" t="n">
        <x:f>B53*C53</x:f>
        <x:v>72</x:v>
      </x:c>
      <x:c r="E53" s="14" t="n">
        <x:v>3000</x:v>
      </x:c>
      <x:c r="F53" s="14" t="n">
        <x:f>D53*E53</x:f>
        <x:v>216000</x:v>
      </x:c>
      <x:c r="K53" s="19"/>
    </x:row>
    <x:row r="54" ht="15" hidden="0" customHeight="1">
      <x:c r="A54" t="str">
        <x:v>Наличник</x:v>
      </x:c>
      <x:c r="B54" s="13" t="n">
        <x:v>2.45</x:v>
      </x:c>
      <x:c r="C54" s="13" t="n">
        <x:v>14</x:v>
      </x:c>
      <x:c r="D54" s="13" t="n">
        <x:f>B54*C54</x:f>
        <x:v>34.300000000000004</x:v>
      </x:c>
      <x:c r="E54" s="14" t="n">
        <x:v>3000</x:v>
      </x:c>
      <x:c r="F54" s="14" t="n">
        <x:f>D54*E54</x:f>
        <x:v>102900.00000000001</x:v>
      </x:c>
      <x:c r="K54" s="19"/>
    </x:row>
    <x:row r="55" ht="15" hidden="0" customHeight="1">
      <x:c r="A55" t="str">
        <x:v>Наличник</x:v>
      </x:c>
      <x:c r="B55" s="13" t="n">
        <x:v>2.04</x:v>
      </x:c>
      <x:c r="C55" s="13" t="n">
        <x:v>3</x:v>
      </x:c>
      <x:c r="D55" s="13" t="n">
        <x:f>B55*C55</x:f>
        <x:v>6.12</x:v>
      </x:c>
      <x:c r="E55" s="14" t="n">
        <x:v>3000</x:v>
      </x:c>
      <x:c r="F55" s="14" t="n">
        <x:f>D55*E55</x:f>
        <x:v>18360</x:v>
      </x:c>
      <x:c r="K55" s="19"/>
    </x:row>
    <x:row r="56" ht="15" hidden="0" customHeight="1">
      <x:c r="A56" t="str">
        <x:v>Наличник</x:v>
      </x:c>
      <x:c r="B56" s="13" t="n">
        <x:v>1.855</x:v>
      </x:c>
      <x:c r="C56" s="13" t="n">
        <x:v>1</x:v>
      </x:c>
      <x:c r="D56" s="13" t="n">
        <x:f>B56*C56</x:f>
        <x:v>1.855</x:v>
      </x:c>
      <x:c r="E56" s="14" t="n">
        <x:v>3000</x:v>
      </x:c>
      <x:c r="F56" s="14" t="n">
        <x:f>D56*E56</x:f>
        <x:v>5565</x:v>
      </x:c>
      <x:c r="K56" s="19"/>
    </x:row>
    <x:row r="57" ht="15" hidden="0" customHeight="1">
      <x:c r="A57" t="str">
        <x:v>Неучтённые мелкие детали</x:v>
      </x:c>
      <x:c r="B57" s="13" t="n">
        <x:v>1.725</x:v>
      </x:c>
      <x:c r="C57" s="13" t="n">
        <x:v>1</x:v>
      </x:c>
      <x:c r="D57" s="13" t="n">
        <x:f>B57*C57</x:f>
        <x:v>1.725</x:v>
      </x:c>
      <x:c r="E57" s="14" t="n">
        <x:v>3000</x:v>
      </x:c>
      <x:c r="F57" s="14" t="n">
        <x:f>D57*E57</x:f>
        <x:v>5175</x:v>
      </x:c>
      <x:c r="K57" s="19"/>
    </x:row>
    <x:row r="58" ht="15" hidden="0" customHeight="1">
      <x:c r="A58" t="str">
        <x:v>Итого наличники</x:v>
      </x:c>
      <x:c r="B58" s="13"/>
      <x:c r="C58" s="13"/>
      <x:c r="D58" s="13" t="n">
        <x:f>SUM(D53:D57)</x:f>
        <x:v>116.00000000000001</x:v>
      </x:c>
      <x:c r="E58" s="14"/>
      <x:c r="F58" s="14" t="n">
        <x:f>SUM(F53:F57)</x:f>
        <x:v>348000</x:v>
      </x:c>
      <x:c r="K58" s="19"/>
    </x:row>
    <x:row r="59">
      <x:c r="K59" s="19"/>
    </x:row>
    <x:row r="60" ht="15" hidden="0" customHeight="1">
      <x:c r="A60" s="10" t="str">
        <x:v>ПОДТВЕРЖДЁННЫЙ КОММЕРЧЕСКИЙ РАСЧЁТ</x:v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20"/>
    </x:row>
    <x:row r="61" ht="15" hidden="0" customHeight="1">
      <x:c r="A61" t="str">
        <x:v>Позиция</x:v>
      </x:c>
      <x:c r="B61" t="str">
        <x:v>Объём</x:v>
      </x:c>
      <x:c r="C61" t="str">
        <x:v>Ставка, ₸</x:v>
      </x:c>
      <x:c r="D61" t="str">
        <x:v>Сумма, ₸</x:v>
      </x:c>
      <x:c r="K61" s="19"/>
    </x:row>
    <x:row r="62" ht="15" hidden="0" customHeight="1">
      <x:c r="A62" t="str">
        <x:v>Коробки + доборы</x:v>
      </x:c>
      <x:c r="B62" t="n">
        <x:v>25</x:v>
      </x:c>
      <x:c r="C62" s="14" t="n">
        <x:v>18000</x:v>
      </x:c>
      <x:c r="D62" s="14" t="n">
        <x:v>450000</x:v>
      </x:c>
      <x:c r="K62" s="19"/>
    </x:row>
    <x:row r="63" ht="15" hidden="0" customHeight="1">
      <x:c r="A63" t="str">
        <x:v>Полотна ×2</x:v>
      </x:c>
      <x:c r="B63" t="n">
        <x:v>32</x:v>
      </x:c>
      <x:c r="C63" s="14" t="n">
        <x:v>25000</x:v>
      </x:c>
      <x:c r="D63" s="14" t="n">
        <x:v>800000</x:v>
      </x:c>
      <x:c r="K63" s="19"/>
    </x:row>
    <x:row r="64" ht="15" hidden="0" customHeight="1">
      <x:c r="A64" t="str">
        <x:v>Фрезерованные наличники, пог. м</x:v>
      </x:c>
      <x:c r="B64" t="n">
        <x:v>116</x:v>
      </x:c>
      <x:c r="C64" s="14" t="n">
        <x:v>3000</x:v>
      </x:c>
      <x:c r="D64" s="14" t="n">
        <x:v>348000</x:v>
      </x:c>
      <x:c r="K64" s="19"/>
    </x:row>
    <x:row r="65" ht="15" hidden="0" customHeight="1">
      <x:c r="A65" t="str">
        <x:v>Итого по позициям</x:v>
      </x:c>
      <x:c r="C65" s="14"/>
      <x:c r="D65" s="14" t="n">
        <x:f>SUM(D62:D64)</x:f>
        <x:v>1598000</x:v>
      </x:c>
      <x:c r="K65" s="19"/>
    </x:row>
    <x:row r="66" ht="15" hidden="0" customHeight="1">
      <x:c r="A66" t="str">
        <x:v>Согласованная сумма заказа</x:v>
      </x:c>
      <x:c r="C66" s="14"/>
      <x:c r="D66" s="14" t="n">
        <x:v>1600000</x:v>
      </x:c>
      <x:c r="K66" s="19"/>
    </x:row>
    <x:row r="67" ht="15" hidden="0" customHeight="1">
      <x:c r="A67" t="str">
        <x:v>Округление к согласованной сумме</x:v>
      </x:c>
      <x:c r="C67" s="14"/>
      <x:c r="D67" s="14" t="n">
        <x:f>D66-D65</x:f>
        <x:v>2000</x:v>
      </x:c>
      <x:c r="K67" s="19"/>
    </x:row>
    <x:row r="68" ht="15" hidden="0" customHeight="1">
      <x:c r="A68" t="str">
        <x:v>Автоматическая проверка</x:v>
      </x:c>
      <x:c r="C68" s="14"/>
      <x:c r="D68" s="14" t="str">
        <x:f>IF(AND(D58=116,D66=1600000),"ПРОВЕРЕНО","ОШИБКА")</x:f>
        <x:v>ПРОВЕРЕНО</x:v>
      </x:c>
      <x:c r="K68" s="19"/>
    </x:row>
    <x:row r="69">
      <x:c r="K69" s="19"/>
    </x:row>
    <x:row r="70" ht="15" hidden="0" customHeight="1">
      <x:c r="A70" t="str">
        <x:v>МАТЕРИАЛЫ, РАСХОДЫ И ПРИБЫЛЬ</x:v>
      </x:c>
      <x:c r="K70" s="19"/>
    </x:row>
    <x:row r="71" ht="15" hidden="0" customHeight="1">
      <x:c r="A71" s="10" t="str">
        <x:v>Статья</x:v>
      </x:c>
      <x:c r="B71" s="10" t="str">
        <x:v>Сумма, ₸</x:v>
      </x:c>
      <x:c r="C71" s="10" t="str">
        <x:v>Статус / пояснение</x:v>
      </x:c>
      <x:c r="D71" s="10"/>
      <x:c r="E71" s="10"/>
      <x:c r="F71" s="10"/>
      <x:c r="G71" s="10"/>
      <x:c r="H71" s="10"/>
      <x:c r="I71" s="10"/>
      <x:c r="J71" s="10"/>
      <x:c r="K71" s="20"/>
    </x:row>
    <x:row r="72" ht="15" hidden="0" customHeight="1">
      <x:c r="A72" t="str">
        <x:v>Выручка</x:v>
      </x:c>
      <x:c r="B72" s="14" t="n">
        <x:v>1600000</x:v>
      </x:c>
      <x:c r="C72" t="str">
        <x:v>Получено полностью</x:v>
      </x:c>
      <x:c r="K72" s="19"/>
    </x:row>
    <x:row r="73" ht="15" hidden="0" customHeight="1">
      <x:c r="A73" t="str">
        <x:v>Оплата маляру</x:v>
      </x:c>
      <x:c r="B73" s="14" t="n">
        <x:v>616000</x:v>
      </x:c>
      <x:c r="C73" t="str">
        <x:v>Оплачено</x:v>
      </x:c>
      <x:c r="K73" s="19"/>
    </x:row>
    <x:row r="74" ht="15" hidden="0" customHeight="1">
      <x:c r="A74" t="str">
        <x:v>Грунт: 50 кг × 5 000</x:v>
      </x:c>
      <x:c r="B74" s="14" t="n">
        <x:v>250000</x:v>
      </x:c>
      <x:c r="C74" t="str">
        <x:v>Куплен и потрачен</x:v>
      </x:c>
      <x:c r="K74" s="19"/>
    </x:row>
    <x:row r="75" ht="15" hidden="0" customHeight="1">
      <x:c r="A75" t="str">
        <x:v>Краска: 25 кг × 12 000</x:v>
      </x:c>
      <x:c r="B75" s="14" t="n">
        <x:v>300000</x:v>
      </x:c>
      <x:c r="C75" t="str">
        <x:v>Куплена и потрачена</x:v>
      </x:c>
      <x:c r="K75" s="19"/>
    </x:row>
    <x:row r="76" ht="15" hidden="0" customHeight="1">
      <x:c r="A76" t="str">
        <x:v>Условная аренда</x:v>
      </x:c>
      <x:c r="B76" s="14" t="n">
        <x:v>150000</x:v>
      </x:c>
      <x:c r="C76" t="str">
        <x:v>Приблизительно для этого заказа</x:v>
      </x:c>
      <x:c r="K76" s="19"/>
    </x:row>
    <x:row r="77" ht="15" hidden="0" customHeight="1">
      <x:c r="A77" t="str">
        <x:v>Налог ИП 4%</x:v>
      </x:c>
      <x:c r="B77" s="14" t="n">
        <x:f>B72*4%</x:f>
        <x:v>64000</x:v>
      </x:c>
      <x:c r="C77" t="str">
        <x:v>Уплачен</x:v>
      </x:c>
      <x:c r="K77" s="19"/>
    </x:row>
    <x:row r="78" ht="15" hidden="0" customHeight="1">
      <x:c r="A78" t="str">
        <x:v>Чистая прибыль</x:v>
      </x:c>
      <x:c r="B78" s="14" t="n">
        <x:f>B72-SUM(B73:B77)</x:f>
        <x:v>220000</x:v>
      </x:c>
      <x:c r="C78" t="str">
        <x:v>После всех указанных расходов</x:v>
      </x:c>
      <x:c r="K78" s="19"/>
    </x:row>
  </x:sheetData>
  <x:mergeCells>
    <x:mergeCell ref="A1:K1"/>
    <x:mergeCell ref="A14:K14"/>
    <x:mergeCell ref="A49:G49"/>
    <x:mergeCell ref="A51:K51"/>
    <x:mergeCell ref="A58:C58"/>
    <x:mergeCell ref="A60:K60"/>
    <x:mergeCell ref="A65:C65"/>
    <x:mergeCell ref="A66:C66"/>
    <x:mergeCell ref="A67:C67"/>
    <x:mergeCell ref="A68:C68"/>
    <x:mergeCell ref="A70:K7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9.25" hidden="0" customWidth="1"/>
    <x:col min="2" max="2" width="44.630001068115234" hidden="0" customWidth="1"/>
    <x:col min="3" max="3" width="7.630000114440918" hidden="0" customWidth="1"/>
    <x:col min="4" max="4" width="17.5" hidden="0" customWidth="1"/>
  </x:cols>
  <x:sheetData>
    <x:row r="1" ht="19.200000762939453" hidden="0" customHeight="1">
      <x:c r="A1" s="18" t="str">
        <x:v>Заказ №001 — Алексей, двери</x:v>
      </x:c>
      <x:c r="B1" s="18"/>
      <x:c r="C1" s="18"/>
      <x:c r="D1" s="18"/>
      <x:c r="E1" s="18"/>
      <x:c r="F1" s="18"/>
    </x:row>
    <x:row r="2">
      <x:c r="A2" s="19"/>
      <x:c r="B2" s="19"/>
      <x:c r="C2" s="19"/>
      <x:c r="D2" s="19"/>
      <x:c r="E2" s="19"/>
      <x:c r="F2" s="19"/>
    </x:row>
    <x:row r="3" ht="15" hidden="0" customHeight="1">
      <x:c r="A3" s="19" t="str">
        <x:v>Дата учёта</x:v>
      </x:c>
      <x:c r="B3" s="22" t="n">
        <x:v>46218</x:v>
      </x:c>
      <x:c r="C3" s="19"/>
      <x:c r="D3" s="19"/>
      <x:c r="E3" s="19"/>
      <x:c r="F3" s="19"/>
    </x:row>
    <x:row r="4" ht="15" hidden="0" customHeight="1">
      <x:c r="A4" s="19" t="str">
        <x:v>Статус</x:v>
      </x:c>
      <x:c r="B4" s="19" t="str">
        <x:v>Выполнен, оплачен полностью</x:v>
      </x:c>
      <x:c r="C4" s="19"/>
      <x:c r="D4" s="19"/>
      <x:c r="E4" s="19"/>
      <x:c r="F4" s="19"/>
    </x:row>
    <x:row r="5" ht="15" hidden="0" customHeight="1">
      <x:c r="A5" s="19" t="str">
        <x:v>Тип работы</x:v>
      </x:c>
      <x:c r="B5" s="19" t="str">
        <x:v>Только покраска; детали получены готовыми</x:v>
      </x:c>
      <x:c r="C5" s="19"/>
      <x:c r="D5" s="19"/>
      <x:c r="E5" s="19"/>
      <x:c r="F5" s="19"/>
    </x:row>
    <x:row r="6" ht="15" hidden="0" customHeight="1">
      <x:c r="A6" s="19" t="str">
        <x:v>Материал</x:v>
      </x:c>
      <x:c r="B6" s="19" t="str">
        <x:v>МДФ; толщина для этого заказа не указывается</x:v>
      </x:c>
      <x:c r="C6" s="19"/>
      <x:c r="D6" s="19"/>
      <x:c r="E6" s="19"/>
      <x:c r="F6" s="19"/>
    </x:row>
    <x:row r="7" ht="15" hidden="0" customHeight="1">
      <x:c r="A7" s="19" t="str">
        <x:v>Цвет</x:v>
      </x:c>
      <x:c r="B7" s="19" t="str">
        <x:v>NCS S 1000-N</x:v>
      </x:c>
      <x:c r="C7" s="19"/>
      <x:c r="D7" s="19"/>
      <x:c r="E7" s="19"/>
      <x:c r="F7" s="19"/>
    </x:row>
    <x:row r="8" ht="15" hidden="0" customHeight="1">
      <x:c r="A8" s="19" t="str">
        <x:v>Блеск</x:v>
      </x:c>
      <x:c r="B8" s="19" t="str">
        <x:v>10%</x:v>
      </x:c>
      <x:c r="C8" s="19"/>
      <x:c r="D8" s="19"/>
      <x:c r="E8" s="19"/>
      <x:c r="F8" s="19"/>
    </x:row>
    <x:row r="9" ht="15" hidden="0" customHeight="1">
      <x:c r="A9" s="19" t="str">
        <x:v>Торцы</x:v>
      </x:c>
      <x:c r="B9" s="19" t="str">
        <x:v>Не учитываются</x:v>
      </x:c>
      <x:c r="C9" s="19"/>
      <x:c r="D9" s="19"/>
      <x:c r="E9" s="19"/>
      <x:c r="F9" s="19"/>
    </x:row>
    <x:row r="10" ht="15" hidden="0" customHeight="1">
      <x:c r="A10" s="19" t="str">
        <x:v>Коробки и доборы</x:v>
      </x:c>
      <x:c r="B10" s="19" t="str">
        <x:v>Одна окрашиваемая сторона</x:v>
      </x:c>
      <x:c r="C10" s="19"/>
      <x:c r="D10" s="19"/>
      <x:c r="E10" s="19"/>
      <x:c r="F10" s="19"/>
    </x:row>
    <x:row r="11" ht="15" hidden="0" customHeight="1">
      <x:c r="A11" s="19" t="str">
        <x:v>Полотна</x:v>
      </x:c>
      <x:c r="B11" s="19" t="str">
        <x:v>Две стороны (×2)</x:v>
      </x:c>
      <x:c r="C11" s="19"/>
      <x:c r="D11" s="19"/>
      <x:c r="E11" s="19"/>
      <x:c r="F11" s="19"/>
    </x:row>
    <x:row r="12" ht="15" hidden="0" customHeight="1">
      <x:c r="A12" s="19" t="str">
        <x:v>Источник итогов</x:v>
      </x:c>
      <x:c r="B12" s="19" t="str">
        <x:v>Подтверждение владельца + итоговый рукописный лист</x:v>
      </x:c>
      <x:c r="C12" s="19"/>
      <x:c r="D12" s="19"/>
      <x:c r="E12" s="19"/>
      <x:c r="F12" s="19"/>
    </x:row>
    <x:row r="13">
      <x:c r="A13" s="19"/>
      <x:c r="B13" s="19"/>
      <x:c r="C13" s="19"/>
      <x:c r="D13" s="19"/>
      <x:c r="E13" s="19"/>
      <x:c r="F13" s="19"/>
    </x:row>
    <x:row r="14" ht="15" hidden="0" customHeight="1">
      <x:c r="A14" s="23" t="str">
        <x:v>Группа</x:v>
      </x:c>
      <x:c r="B14" s="24" t="str">
        <x:v>Расчётный объём</x:v>
      </x:c>
      <x:c r="C14" s="24" t="str">
        <x:v>Ставка, ₸</x:v>
      </x:c>
      <x:c r="D14" s="21" t="str">
        <x:v>Договорная сумма, ₸</x:v>
      </x:c>
      <x:c r="E14" s="19"/>
      <x:c r="F14" s="19"/>
    </x:row>
    <x:row r="15" ht="15" hidden="0" customHeight="1">
      <x:c r="A15" s="19" t="str">
        <x:v>Коробки + доборы</x:v>
      </x:c>
      <x:c r="B15" s="19" t="n">
        <x:v>25</x:v>
      </x:c>
      <x:c r="C15" s="25" t="n">
        <x:v>18000</x:v>
      </x:c>
      <x:c r="D15" s="25" t="n">
        <x:v>450000</x:v>
      </x:c>
      <x:c r="E15" s="19"/>
      <x:c r="F15" s="19"/>
    </x:row>
    <x:row r="16" ht="15" hidden="0" customHeight="1">
      <x:c r="A16" s="19" t="str">
        <x:v>Полотна ×2</x:v>
      </x:c>
      <x:c r="B16" s="19" t="n">
        <x:v>32</x:v>
      </x:c>
      <x:c r="C16" s="25" t="n">
        <x:v>25000</x:v>
      </x:c>
      <x:c r="D16" s="25" t="n">
        <x:v>800000</x:v>
      </x:c>
      <x:c r="E16" s="19"/>
      <x:c r="F16" s="19"/>
    </x:row>
    <x:row r="17" ht="15" hidden="0" customHeight="1">
      <x:c r="A17" s="19" t="str">
        <x:v>Фрезерованные наличники</x:v>
      </x:c>
      <x:c r="B17" s="19" t="n">
        <x:v>116</x:v>
      </x:c>
      <x:c r="C17" s="25" t="n">
        <x:v>3000</x:v>
      </x:c>
      <x:c r="D17" s="25" t="n">
        <x:v>348000</x:v>
      </x:c>
      <x:c r="E17" s="19"/>
      <x:c r="F17" s="19"/>
    </x:row>
    <x:row r="18" ht="15" hidden="0" customHeight="1">
      <x:c r="A18" s="19" t="str">
        <x:v>Итого по позициям</x:v>
      </x:c>
      <x:c r="B18" s="19"/>
      <x:c r="C18" s="25"/>
      <x:c r="D18" s="25" t="n">
        <x:f>SUM(D15:D17)</x:f>
        <x:v>1598000</x:v>
      </x:c>
      <x:c r="E18" s="19"/>
      <x:c r="F18" s="19"/>
    </x:row>
    <x:row r="19" ht="15" hidden="0" customHeight="1">
      <x:c r="A19" s="19" t="str">
        <x:v>Согласованная сумма заказа</x:v>
      </x:c>
      <x:c r="B19" s="19"/>
      <x:c r="C19" s="25"/>
      <x:c r="D19" s="25" t="n">
        <x:v>1600000</x:v>
      </x:c>
      <x:c r="E19" s="19"/>
      <x:c r="F19" s="19"/>
    </x:row>
    <x:row r="20" ht="15" hidden="0" customHeight="1">
      <x:c r="A20" s="19" t="str">
        <x:v>Округление / скидка</x:v>
      </x:c>
      <x:c r="B20" s="19"/>
      <x:c r="C20" s="25"/>
      <x:c r="D20" s="25" t="n">
        <x:f>D19-D18</x:f>
        <x:v>2000</x:v>
      </x:c>
      <x:c r="E20" s="19"/>
      <x:c r="F20" s="19"/>
    </x:row>
    <x:row r="21">
      <x:c r="A21" s="19"/>
      <x:c r="B21" s="19"/>
      <x:c r="C21" s="19"/>
      <x:c r="D21" s="19"/>
      <x:c r="E21" s="19"/>
      <x:c r="F21" s="19"/>
    </x:row>
    <x:row r="22">
      <x:c r="A22" s="17" t="str">
        <x:v>Важно: 25 м², 32 м² и 116 пог. м — подтверждённые коммерческие итоги. Детальные размеры ниже используются для сверки; они не должны молча заменять согласованные значения.</x:v>
      </x:c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</x:sheetData>
  <x:mergeCells>
    <x:mergeCell ref="A1:F1"/>
    <x:mergeCell ref="A18:C18"/>
    <x:mergeCell ref="A19:C19"/>
    <x:mergeCell ref="A20:C20"/>
    <x:mergeCell ref="A22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130001068115234" hidden="0" customWidth="1"/>
    <x:col min="2" max="2" width="7.25" hidden="0" customWidth="1"/>
    <x:col min="3" max="3" width="7.130000114440918" hidden="0" customWidth="1"/>
    <x:col min="4" max="4" width="9.75" hidden="0" customWidth="1"/>
    <x:col min="5" max="5" width="10.630000114440918" hidden="0" customWidth="1"/>
    <x:col min="6" max="6" width="6" hidden="0" customWidth="1"/>
    <x:col min="7" max="7" width="10.880000114440918" hidden="0" customWidth="1"/>
    <x:col min="8" max="8" width="10.75" hidden="0" customWidth="1"/>
    <x:col min="9" max="9" width="8.880000114440918" hidden="0" customWidth="1"/>
    <x:col min="10" max="10" width="34" hidden="0" customWidth="1"/>
  </x:cols>
  <x:sheetData>
    <x:row r="1" ht="15" hidden="0" customHeight="1">
      <x:c r="A1" s="6" t="str">
        <x:v>№</x:v>
      </x:c>
      <x:c r="B1" s="7" t="str">
        <x:v>Группа</x:v>
      </x:c>
      <x:c r="C1" s="7" t="str">
        <x:v>Деталь</x:v>
      </x:c>
      <x:c r="D1" s="7" t="str">
        <x:v>Высота, мм</x:v>
      </x:c>
      <x:c r="E1" s="7" t="str">
        <x:v>Ширина, мм</x:v>
      </x:c>
      <x:c r="F1" s="7" t="str">
        <x:v>Кол-во</x:v>
      </x:c>
      <x:c r="G1" s="7" t="str">
        <x:v>Коэф. сторон</x:v>
      </x:c>
      <x:c r="H1" s="7" t="str">
        <x:v>Площадь, м²</x:v>
      </x:c>
      <x:c r="I1" s="7" t="str">
        <x:v>Ставка, ₸</x:v>
      </x:c>
      <x:c r="J1" s="21" t="str">
        <x:v>Источник / примечание</x:v>
      </x:c>
    </x:row>
    <x:row r="2" ht="15" hidden="0" customHeight="1">
      <x:c r="A2" t="n">
        <x:v>1</x:v>
      </x:c>
      <x:c r="B2" t="str">
        <x:v>Коробки</x:v>
      </x:c>
      <x:c r="C2" t="str">
        <x:v>Коробка</x:v>
      </x:c>
      <x:c r="D2" t="n">
        <x:v>1000</x:v>
      </x:c>
      <x:c r="E2" t="n">
        <x:v>168</x:v>
      </x:c>
      <x:c r="F2" t="n">
        <x:v>10</x:v>
      </x:c>
      <x:c r="G2" t="n">
        <x:v>1</x:v>
      </x:c>
      <x:c r="H2" s="12" t="n">
        <x:f>D2*E2*F2*G2/1000000</x:f>
        <x:v>1.68</x:v>
      </x:c>
      <x:c r="I2" s="12" t="n">
        <x:v>18000</x:v>
      </x:c>
      <x:c r="J2" s="19" t="str">
        <x:v>Фото/цифровой список</x:v>
      </x:c>
    </x:row>
    <x:row r="3" ht="15" hidden="0" customHeight="1">
      <x:c r="A3" t="n">
        <x:v>2</x:v>
      </x:c>
      <x:c r="B3" t="str">
        <x:v>Коробки</x:v>
      </x:c>
      <x:c r="C3" t="str">
        <x:v>Коробка</x:v>
      </x:c>
      <x:c r="D3" t="n">
        <x:v>2150</x:v>
      </x:c>
      <x:c r="E3" t="n">
        <x:v>168</x:v>
      </x:c>
      <x:c r="F3" t="n">
        <x:v>20</x:v>
      </x:c>
      <x:c r="G3" t="n">
        <x:v>1</x:v>
      </x:c>
      <x:c r="H3" s="12" t="n">
        <x:f>D3*E3*F3*G3/1000000</x:f>
        <x:v>7.224</x:v>
      </x:c>
      <x:c r="I3" s="12" t="n">
        <x:v>18000</x:v>
      </x:c>
      <x:c r="J3" s="19" t="str">
        <x:v>Фото/цифровой список</x:v>
      </x:c>
    </x:row>
    <x:row r="4" ht="15" hidden="0" customHeight="1">
      <x:c r="A4" t="n">
        <x:v>3</x:v>
      </x:c>
      <x:c r="B4" t="str">
        <x:v>Полотна</x:v>
      </x:c>
      <x:c r="C4" t="str">
        <x:v>Полотно</x:v>
      </x:c>
      <x:c r="D4" t="n">
        <x:v>2272</x:v>
      </x:c>
      <x:c r="E4" t="n">
        <x:v>804</x:v>
      </x:c>
      <x:c r="F4" t="n">
        <x:v>1</x:v>
      </x:c>
      <x:c r="G4" t="n">
        <x:v>2</x:v>
      </x:c>
      <x:c r="H4" s="12" t="n">
        <x:f>D4*E4*F4*G4/1000000</x:f>
        <x:v>3.653376</x:v>
      </x:c>
      <x:c r="I4" s="12" t="n">
        <x:v>25000</x:v>
      </x:c>
      <x:c r="J4" s="19" t="str">
        <x:v>Цифровой список; сверить с фото</x:v>
      </x:c>
    </x:row>
    <x:row r="5" ht="15" hidden="0" customHeight="1">
      <x:c r="A5" t="n">
        <x:v>4</x:v>
      </x:c>
      <x:c r="B5" t="str">
        <x:v>Полотна</x:v>
      </x:c>
      <x:c r="C5" t="str">
        <x:v>Полотно</x:v>
      </x:c>
      <x:c r="D5" t="n">
        <x:v>2272</x:v>
      </x:c>
      <x:c r="E5" t="n">
        <x:v>674</x:v>
      </x:c>
      <x:c r="F5" t="n">
        <x:v>1</x:v>
      </x:c>
      <x:c r="G5" t="n">
        <x:v>2</x:v>
      </x:c>
      <x:c r="H5" s="12" t="n">
        <x:f>D5*E5*F5*G5/1000000</x:f>
        <x:v>3.062656</x:v>
      </x:c>
      <x:c r="I5" s="12" t="n">
        <x:v>25000</x:v>
      </x:c>
      <x:c r="J5" s="19" t="str">
        <x:v>Цифровой список; сверить с фото</x:v>
      </x:c>
    </x:row>
    <x:row r="6" ht="15" hidden="0" customHeight="1">
      <x:c r="A6" t="n">
        <x:v>5</x:v>
      </x:c>
      <x:c r="B6" t="str">
        <x:v>Полотна</x:v>
      </x:c>
      <x:c r="C6" t="str">
        <x:v>Полотно</x:v>
      </x:c>
      <x:c r="D6" t="n">
        <x:v>2272</x:v>
      </x:c>
      <x:c r="E6" t="n">
        <x:v>644</x:v>
      </x:c>
      <x:c r="F6" t="n">
        <x:v>1</x:v>
      </x:c>
      <x:c r="G6" t="n">
        <x:v>2</x:v>
      </x:c>
      <x:c r="H6" s="12" t="n">
        <x:f>D6*E6*F6*G6/1000000</x:f>
        <x:v>2.926336</x:v>
      </x:c>
      <x:c r="I6" s="12" t="n">
        <x:v>25000</x:v>
      </x:c>
      <x:c r="J6" s="19" t="str">
        <x:v>Цифровой список; сверить с фото</x:v>
      </x:c>
    </x:row>
    <x:row r="7" ht="15" hidden="0" customHeight="1">
      <x:c r="A7" t="n">
        <x:v>6</x:v>
      </x:c>
      <x:c r="B7" t="str">
        <x:v>Полотна</x:v>
      </x:c>
      <x:c r="C7" t="str">
        <x:v>Полотно</x:v>
      </x:c>
      <x:c r="D7" t="n">
        <x:v>2000</x:v>
      </x:c>
      <x:c r="E7" t="n">
        <x:v>814</x:v>
      </x:c>
      <x:c r="F7" t="n">
        <x:v>1</x:v>
      </x:c>
      <x:c r="G7" t="n">
        <x:v>2</x:v>
      </x:c>
      <x:c r="H7" s="12" t="n">
        <x:f>D7*E7*F7*G7/1000000</x:f>
        <x:v>3.256</x:v>
      </x:c>
      <x:c r="I7" s="12" t="n">
        <x:v>25000</x:v>
      </x:c>
      <x:c r="J7" s="19" t="str">
        <x:v>Цифровой список</x:v>
      </x:c>
    </x:row>
    <x:row r="8" ht="15" hidden="0" customHeight="1">
      <x:c r="A8" t="n">
        <x:v>7</x:v>
      </x:c>
      <x:c r="B8" t="str">
        <x:v>Полотна</x:v>
      </x:c>
      <x:c r="C8" t="str">
        <x:v>Полотно</x:v>
      </x:c>
      <x:c r="D8" t="n">
        <x:v>2000</x:v>
      </x:c>
      <x:c r="E8" t="n">
        <x:v>814</x:v>
      </x:c>
      <x:c r="F8" t="n">
        <x:v>1</x:v>
      </x:c>
      <x:c r="G8" t="n">
        <x:v>2</x:v>
      </x:c>
      <x:c r="H8" s="12" t="n">
        <x:f>D8*E8*F8*G8/1000000</x:f>
        <x:v>3.256</x:v>
      </x:c>
      <x:c r="I8" s="12" t="n">
        <x:v>25000</x:v>
      </x:c>
      <x:c r="J8" s="19" t="str">
        <x:v>Цифровой список</x:v>
      </x:c>
    </x:row>
    <x:row r="9" ht="15" hidden="0" customHeight="1">
      <x:c r="A9" t="n">
        <x:v>8</x:v>
      </x:c>
      <x:c r="B9" t="str">
        <x:v>Полотна</x:v>
      </x:c>
      <x:c r="C9" t="str">
        <x:v>Полотно</x:v>
      </x:c>
      <x:c r="D9" t="n">
        <x:v>2000</x:v>
      </x:c>
      <x:c r="E9" t="n">
        <x:v>814</x:v>
      </x:c>
      <x:c r="F9" t="n">
        <x:v>1</x:v>
      </x:c>
      <x:c r="G9" t="n">
        <x:v>2</x:v>
      </x:c>
      <x:c r="H9" s="12" t="n">
        <x:f>D9*E9*F9*G9/1000000</x:f>
        <x:v>3.256</x:v>
      </x:c>
      <x:c r="I9" s="12" t="n">
        <x:v>25000</x:v>
      </x:c>
      <x:c r="J9" s="19" t="str">
        <x:v>Цифровой список</x:v>
      </x:c>
    </x:row>
    <x:row r="10" ht="15" hidden="0" customHeight="1">
      <x:c r="A10" t="n">
        <x:v>9</x:v>
      </x:c>
      <x:c r="B10" t="str">
        <x:v>Полотна</x:v>
      </x:c>
      <x:c r="C10" t="str">
        <x:v>Полотно</x:v>
      </x:c>
      <x:c r="D10" t="n">
        <x:v>2000</x:v>
      </x:c>
      <x:c r="E10" t="n">
        <x:v>814</x:v>
      </x:c>
      <x:c r="F10" t="n">
        <x:v>1</x:v>
      </x:c>
      <x:c r="G10" t="n">
        <x:v>2</x:v>
      </x:c>
      <x:c r="H10" s="12" t="n">
        <x:f>D10*E10*F10*G10/1000000</x:f>
        <x:v>3.256</x:v>
      </x:c>
      <x:c r="I10" s="12" t="n">
        <x:v>25000</x:v>
      </x:c>
      <x:c r="J10" s="19" t="str">
        <x:v>Цифровой список</x:v>
      </x:c>
    </x:row>
    <x:row r="11" ht="15" hidden="0" customHeight="1">
      <x:c r="A11" t="n">
        <x:v>10</x:v>
      </x:c>
      <x:c r="B11" t="str">
        <x:v>Полотна</x:v>
      </x:c>
      <x:c r="C11" t="str">
        <x:v>Полотно</x:v>
      </x:c>
      <x:c r="D11" t="n">
        <x:v>1992</x:v>
      </x:c>
      <x:c r="E11" t="n">
        <x:v>814</x:v>
      </x:c>
      <x:c r="F11" t="n">
        <x:v>1</x:v>
      </x:c>
      <x:c r="G11" t="n">
        <x:v>2</x:v>
      </x:c>
      <x:c r="H11" s="12" t="n">
        <x:f>D11*E11*F11*G11/1000000</x:f>
        <x:v>3.242976</x:v>
      </x:c>
      <x:c r="I11" s="12" t="n">
        <x:v>25000</x:v>
      </x:c>
      <x:c r="J11" s="19" t="str">
        <x:v>Цифровой список; рукопись неясна</x:v>
      </x:c>
    </x:row>
    <x:row r="12" ht="15" hidden="0" customHeight="1">
      <x:c r="A12" t="n">
        <x:v>11</x:v>
      </x:c>
      <x:c r="B12" t="str">
        <x:v>Полотна</x:v>
      </x:c>
      <x:c r="C12" t="str">
        <x:v>Полотно</x:v>
      </x:c>
      <x:c r="D12" t="n">
        <x:v>2000</x:v>
      </x:c>
      <x:c r="E12" t="n">
        <x:v>814</x:v>
      </x:c>
      <x:c r="F12" t="n">
        <x:v>1</x:v>
      </x:c>
      <x:c r="G12" t="n">
        <x:v>2</x:v>
      </x:c>
      <x:c r="H12" s="12" t="n">
        <x:f>D12*E12*F12*G12/1000000</x:f>
        <x:v>3.256</x:v>
      </x:c>
      <x:c r="I12" s="12" t="n">
        <x:v>25000</x:v>
      </x:c>
      <x:c r="J12" s="19" t="str">
        <x:v>Цифровой список</x:v>
      </x:c>
    </x:row>
    <x:row r="13" ht="15" hidden="0" customHeight="1">
      <x:c r="A13" t="n">
        <x:v>12</x:v>
      </x:c>
      <x:c r="B13" t="str">
        <x:v>Полотна</x:v>
      </x:c>
      <x:c r="C13" t="str">
        <x:v>Полотно</x:v>
      </x:c>
      <x:c r="D13" t="n">
        <x:v>2000</x:v>
      </x:c>
      <x:c r="E13" t="n">
        <x:v>814</x:v>
      </x:c>
      <x:c r="F13" t="n">
        <x:v>1</x:v>
      </x:c>
      <x:c r="G13" t="n">
        <x:v>2</x:v>
      </x:c>
      <x:c r="H13" s="12" t="n">
        <x:f>D13*E13*F13*G13/1000000</x:f>
        <x:v>3.256</x:v>
      </x:c>
      <x:c r="I13" s="12" t="n">
        <x:v>25000</x:v>
      </x:c>
      <x:c r="J13" s="19" t="str">
        <x:v>Цифровой список</x:v>
      </x:c>
    </x:row>
    <x:row r="14" ht="15" hidden="0" customHeight="1">
      <x:c r="A14" t="n">
        <x:v>13</x:v>
      </x:c>
      <x:c r="B14" t="str">
        <x:v>Доборы</x:v>
      </x:c>
      <x:c r="C14" t="str">
        <x:v>Добор</x:v>
      </x:c>
      <x:c r="D14" t="n">
        <x:v>2370</x:v>
      </x:c>
      <x:c r="E14" t="n">
        <x:v>340</x:v>
      </x:c>
      <x:c r="F14" t="n">
        <x:v>2</x:v>
      </x:c>
      <x:c r="G14" t="n">
        <x:v>1</x:v>
      </x:c>
      <x:c r="H14" s="12" t="n">
        <x:f>D14*E14*F14*G14/1000000</x:f>
        <x:v>1.6116</x:v>
      </x:c>
      <x:c r="I14" s="12" t="n">
        <x:v>18000</x:v>
      </x:c>
      <x:c r="J14" s="19" t="str">
        <x:v>Комплект 1, боковые</x:v>
      </x:c>
    </x:row>
    <x:row r="15" ht="15" hidden="0" customHeight="1">
      <x:c r="A15" t="n">
        <x:v>14</x:v>
      </x:c>
      <x:c r="B15" t="str">
        <x:v>Доборы</x:v>
      </x:c>
      <x:c r="C15" t="str">
        <x:v>Добор</x:v>
      </x:c>
      <x:c r="D15" t="n">
        <x:v>980</x:v>
      </x:c>
      <x:c r="E15" t="n">
        <x:v>340</x:v>
      </x:c>
      <x:c r="F15" t="n">
        <x:v>1</x:v>
      </x:c>
      <x:c r="G15" t="n">
        <x:v>1</x:v>
      </x:c>
      <x:c r="H15" s="12" t="n">
        <x:f>D15*E15*F15*G15/1000000</x:f>
        <x:v>0.3332</x:v>
      </x:c>
      <x:c r="I15" s="12" t="n">
        <x:v>18000</x:v>
      </x:c>
      <x:c r="J15" s="19" t="str">
        <x:v>Комплект 1, верхняя</x:v>
      </x:c>
    </x:row>
    <x:row r="16" ht="15" hidden="0" customHeight="1">
      <x:c r="A16" t="n">
        <x:v>15</x:v>
      </x:c>
      <x:c r="B16" t="str">
        <x:v>Доборы</x:v>
      </x:c>
      <x:c r="C16" t="str">
        <x:v>Добор</x:v>
      </x:c>
      <x:c r="D16" t="n">
        <x:v>2370</x:v>
      </x:c>
      <x:c r="E16" t="n">
        <x:v>340</x:v>
      </x:c>
      <x:c r="F16" t="n">
        <x:v>2</x:v>
      </x:c>
      <x:c r="G16" t="n">
        <x:v>1</x:v>
      </x:c>
      <x:c r="H16" s="12" t="n">
        <x:f>D16*E16*F16*G16/1000000</x:f>
        <x:v>1.6116</x:v>
      </x:c>
      <x:c r="I16" s="12" t="n">
        <x:v>18000</x:v>
      </x:c>
      <x:c r="J16" s="19" t="str">
        <x:v>Комплект 2, боковые</x:v>
      </x:c>
    </x:row>
    <x:row r="17" ht="15" hidden="0" customHeight="1">
      <x:c r="A17" t="n">
        <x:v>16</x:v>
      </x:c>
      <x:c r="B17" t="str">
        <x:v>Доборы</x:v>
      </x:c>
      <x:c r="C17" t="str">
        <x:v>Добор</x:v>
      </x:c>
      <x:c r="D17" t="n">
        <x:v>850</x:v>
      </x:c>
      <x:c r="E17" t="n">
        <x:v>340</x:v>
      </x:c>
      <x:c r="F17" t="n">
        <x:v>1</x:v>
      </x:c>
      <x:c r="G17" t="n">
        <x:v>1</x:v>
      </x:c>
      <x:c r="H17" s="12" t="n">
        <x:f>D17*E17*F17*G17/1000000</x:f>
        <x:v>0.289</x:v>
      </x:c>
      <x:c r="I17" s="12" t="n">
        <x:v>18000</x:v>
      </x:c>
      <x:c r="J17" s="19" t="str">
        <x:v>Комплект 2, верхняя</x:v>
      </x:c>
    </x:row>
    <x:row r="18" ht="15" hidden="0" customHeight="1">
      <x:c r="A18" t="n">
        <x:v>17</x:v>
      </x:c>
      <x:c r="B18" t="str">
        <x:v>Доборы</x:v>
      </x:c>
      <x:c r="C18" t="str">
        <x:v>Добор</x:v>
      </x:c>
      <x:c r="D18" t="n">
        <x:v>2370</x:v>
      </x:c>
      <x:c r="E18" t="n">
        <x:v>190</x:v>
      </x:c>
      <x:c r="F18" t="n">
        <x:v>2</x:v>
      </x:c>
      <x:c r="G18" t="n">
        <x:v>1</x:v>
      </x:c>
      <x:c r="H18" s="12" t="n">
        <x:f>D18*E18*F18*G18/1000000</x:f>
        <x:v>0.9006</x:v>
      </x:c>
      <x:c r="I18" s="12" t="n">
        <x:v>18000</x:v>
      </x:c>
      <x:c r="J18" s="19" t="str">
        <x:v>Комплект 3, боковые</x:v>
      </x:c>
    </x:row>
    <x:row r="19" ht="15" hidden="0" customHeight="1">
      <x:c r="A19" t="n">
        <x:v>18</x:v>
      </x:c>
      <x:c r="B19" t="str">
        <x:v>Доборы</x:v>
      </x:c>
      <x:c r="C19" t="str">
        <x:v>Добор</x:v>
      </x:c>
      <x:c r="D19" t="n">
        <x:v>820</x:v>
      </x:c>
      <x:c r="E19" t="n">
        <x:v>190</x:v>
      </x:c>
      <x:c r="F19" t="n">
        <x:v>1</x:v>
      </x:c>
      <x:c r="G19" t="n">
        <x:v>1</x:v>
      </x:c>
      <x:c r="H19" s="12" t="n">
        <x:f>D19*E19*F19*G19/1000000</x:f>
        <x:v>0.1558</x:v>
      </x:c>
      <x:c r="I19" s="12" t="n">
        <x:v>18000</x:v>
      </x:c>
      <x:c r="J19" s="19" t="str">
        <x:v>Комплект 3, верхняя</x:v>
      </x:c>
    </x:row>
    <x:row r="20" ht="15" hidden="0" customHeight="1">
      <x:c r="A20" t="n">
        <x:v>19</x:v>
      </x:c>
      <x:c r="B20" t="str">
        <x:v>Доборы</x:v>
      </x:c>
      <x:c r="C20" t="str">
        <x:v>Добор</x:v>
      </x:c>
      <x:c r="D20" t="n">
        <x:v>2120</x:v>
      </x:c>
      <x:c r="E20" t="n">
        <x:v>360</x:v>
      </x:c>
      <x:c r="F20" t="n">
        <x:v>2</x:v>
      </x:c>
      <x:c r="G20" t="n">
        <x:v>1</x:v>
      </x:c>
      <x:c r="H20" s="12" t="n">
        <x:f>D20*E20*F20*G20/1000000</x:f>
        <x:v>1.5264</x:v>
      </x:c>
      <x:c r="I20" s="12" t="n">
        <x:v>18000</x:v>
      </x:c>
      <x:c r="J20" s="19" t="str">
        <x:v>Комплект 4, боковые</x:v>
      </x:c>
    </x:row>
    <x:row r="21" ht="15" hidden="0" customHeight="1">
      <x:c r="A21" t="n">
        <x:v>20</x:v>
      </x:c>
      <x:c r="B21" t="str">
        <x:v>Доборы</x:v>
      </x:c>
      <x:c r="C21" t="str">
        <x:v>Добор</x:v>
      </x:c>
      <x:c r="D21" t="n">
        <x:v>1000</x:v>
      </x:c>
      <x:c r="E21" t="n">
        <x:v>360</x:v>
      </x:c>
      <x:c r="F21" t="n">
        <x:v>1</x:v>
      </x:c>
      <x:c r="G21" t="n">
        <x:v>1</x:v>
      </x:c>
      <x:c r="H21" s="12" t="n">
        <x:f>D21*E21*F21*G21/1000000</x:f>
        <x:v>0.36</x:v>
      </x:c>
      <x:c r="I21" s="12" t="n">
        <x:v>18000</x:v>
      </x:c>
      <x:c r="J21" s="19" t="str">
        <x:v>Комплект 4, верхняя</x:v>
      </x:c>
    </x:row>
    <x:row r="22" ht="15" hidden="0" customHeight="1">
      <x:c r="A22" t="n">
        <x:v>21</x:v>
      </x:c>
      <x:c r="B22" t="str">
        <x:v>Доборы</x:v>
      </x:c>
      <x:c r="C22" t="str">
        <x:v>Добор</x:v>
      </x:c>
      <x:c r="D22" t="n">
        <x:v>2120</x:v>
      </x:c>
      <x:c r="E22" t="n">
        <x:v>330</x:v>
      </x:c>
      <x:c r="F22" t="n">
        <x:v>2</x:v>
      </x:c>
      <x:c r="G22" t="n">
        <x:v>1</x:v>
      </x:c>
      <x:c r="H22" s="12" t="n">
        <x:f>D22*E22*F22*G22/1000000</x:f>
        <x:v>1.3992</x:v>
      </x:c>
      <x:c r="I22" s="12" t="n">
        <x:v>18000</x:v>
      </x:c>
      <x:c r="J22" s="19" t="str">
        <x:v>Комплект 5, боковые</x:v>
      </x:c>
    </x:row>
    <x:row r="23" ht="15" hidden="0" customHeight="1">
      <x:c r="A23" t="n">
        <x:v>22</x:v>
      </x:c>
      <x:c r="B23" t="str">
        <x:v>Доборы</x:v>
      </x:c>
      <x:c r="C23" t="str">
        <x:v>Добор</x:v>
      </x:c>
      <x:c r="D23" t="n">
        <x:v>1000</x:v>
      </x:c>
      <x:c r="E23" t="n">
        <x:v>330</x:v>
      </x:c>
      <x:c r="F23" t="n">
        <x:v>1</x:v>
      </x:c>
      <x:c r="G23" t="n">
        <x:v>1</x:v>
      </x:c>
      <x:c r="H23" s="12" t="n">
        <x:f>D23*E23*F23*G23/1000000</x:f>
        <x:v>0.33</x:v>
      </x:c>
      <x:c r="I23" s="12" t="n">
        <x:v>18000</x:v>
      </x:c>
      <x:c r="J23" s="19" t="str">
        <x:v>Комплект 5, верхняя</x:v>
      </x:c>
    </x:row>
    <x:row r="24" ht="15" hidden="0" customHeight="1">
      <x:c r="A24" t="n">
        <x:v>23</x:v>
      </x:c>
      <x:c r="B24" t="str">
        <x:v>Доборы</x:v>
      </x:c>
      <x:c r="C24" t="str">
        <x:v>Добор</x:v>
      </x:c>
      <x:c r="D24" t="n">
        <x:v>2120</x:v>
      </x:c>
      <x:c r="E24" t="n">
        <x:v>340</x:v>
      </x:c>
      <x:c r="F24" t="n">
        <x:v>2</x:v>
      </x:c>
      <x:c r="G24" t="n">
        <x:v>1</x:v>
      </x:c>
      <x:c r="H24" s="12" t="n">
        <x:f>D24*E24*F24*G24/1000000</x:f>
        <x:v>1.4416</x:v>
      </x:c>
      <x:c r="I24" s="12" t="n">
        <x:v>18000</x:v>
      </x:c>
      <x:c r="J24" s="19" t="str">
        <x:v>Комплект 6, боковые</x:v>
      </x:c>
    </x:row>
    <x:row r="25" ht="15" hidden="0" customHeight="1">
      <x:c r="A25" t="n">
        <x:v>24</x:v>
      </x:c>
      <x:c r="B25" t="str">
        <x:v>Доборы</x:v>
      </x:c>
      <x:c r="C25" t="str">
        <x:v>Добор</x:v>
      </x:c>
      <x:c r="D25" t="n">
        <x:v>1000</x:v>
      </x:c>
      <x:c r="E25" t="n">
        <x:v>340</x:v>
      </x:c>
      <x:c r="F25" t="n">
        <x:v>1</x:v>
      </x:c>
      <x:c r="G25" t="n">
        <x:v>1</x:v>
      </x:c>
      <x:c r="H25" s="12" t="n">
        <x:f>D25*E25*F25*G25/1000000</x:f>
        <x:v>0.34</x:v>
      </x:c>
      <x:c r="I25" s="12" t="n">
        <x:v>18000</x:v>
      </x:c>
      <x:c r="J25" s="19" t="str">
        <x:v>Комплект 6, верхняя</x:v>
      </x:c>
    </x:row>
    <x:row r="26" ht="15" hidden="0" customHeight="1">
      <x:c r="A26" t="n">
        <x:v>25</x:v>
      </x:c>
      <x:c r="B26" t="str">
        <x:v>Доборы</x:v>
      </x:c>
      <x:c r="C26" t="str">
        <x:v>Добор</x:v>
      </x:c>
      <x:c r="D26" t="n">
        <x:v>2120</x:v>
      </x:c>
      <x:c r="E26" t="n">
        <x:v>340</x:v>
      </x:c>
      <x:c r="F26" t="n">
        <x:v>2</x:v>
      </x:c>
      <x:c r="G26" t="n">
        <x:v>1</x:v>
      </x:c>
      <x:c r="H26" s="12" t="n">
        <x:f>D26*E26*F26*G26/1000000</x:f>
        <x:v>1.4416</x:v>
      </x:c>
      <x:c r="I26" s="12" t="n">
        <x:v>18000</x:v>
      </x:c>
      <x:c r="J26" s="19" t="str">
        <x:v>Комплект 7, боковые</x:v>
      </x:c>
    </x:row>
    <x:row r="27" ht="15" hidden="0" customHeight="1">
      <x:c r="A27" t="n">
        <x:v>26</x:v>
      </x:c>
      <x:c r="B27" t="str">
        <x:v>Доборы</x:v>
      </x:c>
      <x:c r="C27" t="str">
        <x:v>Добор</x:v>
      </x:c>
      <x:c r="D27" t="n">
        <x:v>1000</x:v>
      </x:c>
      <x:c r="E27" t="n">
        <x:v>340</x:v>
      </x:c>
      <x:c r="F27" t="n">
        <x:v>1</x:v>
      </x:c>
      <x:c r="G27" t="n">
        <x:v>1</x:v>
      </x:c>
      <x:c r="H27" s="12" t="n">
        <x:f>D27*E27*F27*G27/1000000</x:f>
        <x:v>0.34</x:v>
      </x:c>
      <x:c r="I27" s="12" t="n">
        <x:v>18000</x:v>
      </x:c>
      <x:c r="J27" s="19" t="str">
        <x:v>Комплект 7, верхняя</x:v>
      </x:c>
    </x:row>
    <x:row r="28" ht="15" hidden="0" customHeight="1">
      <x:c r="A28" t="n">
        <x:v>27</x:v>
      </x:c>
      <x:c r="B28" t="str">
        <x:v>Доборы</x:v>
      </x:c>
      <x:c r="C28" t="str">
        <x:v>Добор</x:v>
      </x:c>
      <x:c r="D28" t="n">
        <x:v>2120</x:v>
      </x:c>
      <x:c r="E28" t="n">
        <x:v>190</x:v>
      </x:c>
      <x:c r="F28" t="n">
        <x:v>2</x:v>
      </x:c>
      <x:c r="G28" t="n">
        <x:v>1</x:v>
      </x:c>
      <x:c r="H28" s="12" t="n">
        <x:f>D28*E28*F28*G28/1000000</x:f>
        <x:v>0.8056</x:v>
      </x:c>
      <x:c r="I28" s="12" t="n">
        <x:v>18000</x:v>
      </x:c>
      <x:c r="J28" s="19" t="str">
        <x:v>Комплект 8, боковые</x:v>
      </x:c>
    </x:row>
    <x:row r="29" ht="15" hidden="0" customHeight="1">
      <x:c r="A29" t="n">
        <x:v>28</x:v>
      </x:c>
      <x:c r="B29" t="str">
        <x:v>Доборы</x:v>
      </x:c>
      <x:c r="C29" t="str">
        <x:v>Добор</x:v>
      </x:c>
      <x:c r="D29" t="n">
        <x:v>1000</x:v>
      </x:c>
      <x:c r="E29" t="n">
        <x:v>190</x:v>
      </x:c>
      <x:c r="F29" t="n">
        <x:v>1</x:v>
      </x:c>
      <x:c r="G29" t="n">
        <x:v>1</x:v>
      </x:c>
      <x:c r="H29" s="12" t="n">
        <x:f>D29*E29*F29*G29/1000000</x:f>
        <x:v>0.19</x:v>
      </x:c>
      <x:c r="I29" s="12" t="n">
        <x:v>18000</x:v>
      </x:c>
      <x:c r="J29" s="19" t="str">
        <x:v>Комплект 8, верхняя</x:v>
      </x:c>
    </x:row>
    <x:row r="30" ht="15" hidden="0" customHeight="1">
      <x:c r="A30" t="n">
        <x:v>29</x:v>
      </x:c>
      <x:c r="B30" t="str">
        <x:v>Доборы</x:v>
      </x:c>
      <x:c r="C30" t="str">
        <x:v>Добор</x:v>
      </x:c>
      <x:c r="D30" t="n">
        <x:v>2120</x:v>
      </x:c>
      <x:c r="E30" t="n">
        <x:v>340</x:v>
      </x:c>
      <x:c r="F30" t="n">
        <x:v>2</x:v>
      </x:c>
      <x:c r="G30" t="n">
        <x:v>1</x:v>
      </x:c>
      <x:c r="H30" s="12" t="n">
        <x:f>D30*E30*F30*G30/1000000</x:f>
        <x:v>1.4416</x:v>
      </x:c>
      <x:c r="I30" s="12" t="n">
        <x:v>18000</x:v>
      </x:c>
      <x:c r="J30" s="19" t="str">
        <x:v>Комплект 9, боковые</x:v>
      </x:c>
    </x:row>
    <x:row r="31" ht="15" hidden="0" customHeight="1">
      <x:c r="A31" t="n">
        <x:v>30</x:v>
      </x:c>
      <x:c r="B31" t="str">
        <x:v>Доборы</x:v>
      </x:c>
      <x:c r="C31" t="str">
        <x:v>Добор</x:v>
      </x:c>
      <x:c r="D31" t="n">
        <x:v>1000</x:v>
      </x:c>
      <x:c r="E31" t="n">
        <x:v>340</x:v>
      </x:c>
      <x:c r="F31" t="n">
        <x:v>1</x:v>
      </x:c>
      <x:c r="G31" t="n">
        <x:v>1</x:v>
      </x:c>
      <x:c r="H31" s="12" t="n">
        <x:f>D31*E31*F31*G31/1000000</x:f>
        <x:v>0.34</x:v>
      </x:c>
      <x:c r="I31" s="12" t="n">
        <x:v>18000</x:v>
      </x:c>
      <x:c r="J31" s="19" t="str">
        <x:v>Комплект 9, верхняя</x:v>
      </x:c>
    </x:row>
    <x:row r="32" ht="15" hidden="0" customHeight="1">
      <x:c r="A32" t="n">
        <x:v>31</x:v>
      </x:c>
      <x:c r="B32" t="str">
        <x:v>Доборы</x:v>
      </x:c>
      <x:c r="C32" t="str">
        <x:v>Добор</x:v>
      </x:c>
      <x:c r="D32" t="n">
        <x:v>2120</x:v>
      </x:c>
      <x:c r="E32" t="n">
        <x:v>290</x:v>
      </x:c>
      <x:c r="F32" t="n">
        <x:v>2</x:v>
      </x:c>
      <x:c r="G32" t="n">
        <x:v>1</x:v>
      </x:c>
      <x:c r="H32" s="12" t="n">
        <x:f>D32*E32*F32*G32/1000000</x:f>
        <x:v>1.2296</x:v>
      </x:c>
      <x:c r="I32" s="12" t="n">
        <x:v>18000</x:v>
      </x:c>
      <x:c r="J32" s="19" t="str">
        <x:v>Комплект 10, боковые</x:v>
      </x:c>
    </x:row>
    <x:row r="33" ht="15" hidden="0" customHeight="1">
      <x:c r="A33" t="n">
        <x:v>32</x:v>
      </x:c>
      <x:c r="B33" t="str">
        <x:v>Доборы</x:v>
      </x:c>
      <x:c r="C33" t="str">
        <x:v>Добор</x:v>
      </x:c>
      <x:c r="D33" t="n">
        <x:v>1000</x:v>
      </x:c>
      <x:c r="E33" t="n">
        <x:v>290</x:v>
      </x:c>
      <x:c r="F33" t="n">
        <x:v>1</x:v>
      </x:c>
      <x:c r="G33" t="n">
        <x:v>1</x:v>
      </x:c>
      <x:c r="H33" s="12" t="n">
        <x:f>D33*E33*F33*G33/1000000</x:f>
        <x:v>0.29</x:v>
      </x:c>
      <x:c r="I33" s="12" t="n">
        <x:v>18000</x:v>
      </x:c>
      <x:c r="J33" s="19" t="str">
        <x:v>Комплект 10, верхняя</x:v>
      </x:c>
    </x:row>
    <x:row r="34" ht="15" hidden="0" customHeight="1">
      <x:c r="H34" s="12"/>
      <x:c r="I34" s="12"/>
    </x:row>
    <x:row r="35" ht="15" hidden="0" customHeight="1">
      <x:c r="A35" t="str">
        <x:v>Техническая площадь по детальному списку</x:v>
      </x:c>
      <x:c r="H35" s="12" t="n">
        <x:f>SUM(H2:H33)</x:f>
        <x:v>57.70274400000001</x:v>
      </x:c>
      <x:c r="I35" s="12"/>
    </x:row>
  </x:sheetData>
  <x:mergeCells>
    <x:mergeCell ref="A35:G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5" hidden="0" customWidth="1"/>
    <x:col min="2" max="2" width="9.380000114440918" hidden="0" customWidth="1"/>
    <x:col min="3" max="3" width="28.5" hidden="0" customWidth="1"/>
  </x:cols>
  <x:sheetData>
    <x:row r="1" ht="19.200000762939453" hidden="0" customHeight="1">
      <x:c r="A1" s="3" t="str">
        <x:v>Финансы заказа №001</x:v>
      </x:c>
      <x:c r="B1" s="3"/>
      <x:c r="C1" s="3"/>
      <x:c r="D1" s="3"/>
    </x:row>
    <x:row r="2"/>
    <x:row r="3" ht="15" hidden="0" customHeight="1">
      <x:c r="A3" s="6" t="str">
        <x:v>Статья</x:v>
      </x:c>
      <x:c r="B3" s="7" t="str">
        <x:v>Сумма, ₸</x:v>
      </x:c>
      <x:c r="C3" s="8" t="str">
        <x:v>Статус / пояснение</x:v>
      </x:c>
    </x:row>
    <x:row r="4" ht="15" hidden="0" customHeight="1">
      <x:c r="A4" t="str">
        <x:v>Выручка</x:v>
      </x:c>
      <x:c r="B4" s="14" t="n">
        <x:v>1600000</x:v>
      </x:c>
      <x:c r="C4" t="str">
        <x:v>Получено полностью</x:v>
      </x:c>
    </x:row>
    <x:row r="5" ht="15" hidden="0" customHeight="1">
      <x:c r="A5" t="str">
        <x:v>Оплата маляру</x:v>
      </x:c>
      <x:c r="B5" s="14" t="n">
        <x:v>616000</x:v>
      </x:c>
      <x:c r="C5" t="str">
        <x:v>Оплачено</x:v>
      </x:c>
    </x:row>
    <x:row r="6" ht="15" hidden="0" customHeight="1">
      <x:c r="A6" t="str">
        <x:v>Грунт: 50 кг × 5 000</x:v>
      </x:c>
      <x:c r="B6" s="14" t="n">
        <x:v>250000</x:v>
      </x:c>
      <x:c r="C6" t="str">
        <x:v>Фактически куплен и потрачен</x:v>
      </x:c>
    </x:row>
    <x:row r="7" ht="15" hidden="0" customHeight="1">
      <x:c r="A7" t="str">
        <x:v>Краска: 25 кг × 12 000</x:v>
      </x:c>
      <x:c r="B7" s="14" t="n">
        <x:v>300000</x:v>
      </x:c>
      <x:c r="C7" t="str">
        <x:v>Фактически куплена и потрачена</x:v>
      </x:c>
    </x:row>
    <x:row r="8" ht="15" hidden="0" customHeight="1">
      <x:c r="A8" t="str">
        <x:v>Условная аренда</x:v>
      </x:c>
      <x:c r="B8" s="14" t="n">
        <x:v>150000</x:v>
      </x:c>
      <x:c r="C8" t="str">
        <x:v>Оценка только для этого заказа</x:v>
      </x:c>
    </x:row>
    <x:row r="9" ht="15" hidden="0" customHeight="1">
      <x:c r="A9" t="str">
        <x:v>Налог ИП 4%</x:v>
      </x:c>
      <x:c r="B9" s="14" t="n">
        <x:f>B4*4%</x:f>
        <x:v>64000</x:v>
      </x:c>
      <x:c r="C9" t="str">
        <x:v>Уплачен; 4% от выручки</x:v>
      </x:c>
    </x:row>
    <x:row r="10" ht="15" hidden="0" customHeight="1">
      <x:c r="A10" t="str">
        <x:v>Чистая прибыль</x:v>
      </x:c>
      <x:c r="B10" s="14" t="n">
        <x:f>B4-SUM(B5:B9)</x:f>
        <x:v>220000</x:v>
      </x:c>
      <x:c r="C10" t="str">
        <x:v>После указанных расходов и налога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799991607666" hidden="0" customWidth="1"/>
    <x:col min="2" max="2" width="16.25" hidden="0" customWidth="1"/>
    <x:col min="3" max="3" width="12.630000114440918" hidden="0" customWidth="1"/>
    <x:col min="4" max="4" width="7.130000114440918" hidden="0" customWidth="1"/>
    <x:col min="5" max="5" width="30.5" hidden="0" customWidth="1"/>
  </x:cols>
  <x:sheetData>
    <x:row r="1" ht="15" hidden="0" customHeight="1">
      <x:c r="A1" s="6" t="str">
        <x:v>Показатель</x:v>
      </x:c>
      <x:c r="B1" s="7" t="str">
        <x:v>Черновые размеры</x:v>
      </x:c>
      <x:c r="C1" s="7" t="str">
        <x:v>Подтверждено</x:v>
      </x:c>
      <x:c r="D1" s="7" t="str">
        <x:v>Разница</x:v>
      </x:c>
      <x:c r="E1" s="8" t="str">
        <x:v>Решение</x:v>
      </x:c>
    </x:row>
    <x:row r="2" ht="15" hidden="0" customHeight="1">
      <x:c r="A2" t="str">
        <x:v>Коробки + доборы, м²</x:v>
      </x:c>
      <x:c r="B2" s="13" t="n">
        <x:f>SUMIF('Детали'!B2:B33,"Коробки",'Детали'!H2:H33)+SUMIF('Детали'!B2:B33,"Доборы",'Детали'!H2:H33)</x:f>
        <x:v>25.281399999999998</x:v>
      </x:c>
      <x:c r="C2" s="13" t="n">
        <x:v>25</x:v>
      </x:c>
      <x:c r="D2" s="13" t="n">
        <x:f>C2-B2</x:f>
        <x:v>-0.2813999999999979</x:v>
      </x:c>
      <x:c r="E2" t="str">
        <x:v>Использовать подтверждённые 25 м²</x:v>
      </x:c>
    </x:row>
    <x:row r="3" ht="15" hidden="0" customHeight="1">
      <x:c r="A3" t="str">
        <x:v>Полотна ×2, м²</x:v>
      </x:c>
      <x:c r="B3" s="13" t="n">
        <x:f>SUMIF('Детали'!B2:B33,"Полотна",'Детали'!H2:H33)</x:f>
        <x:v>32.421344</x:v>
      </x:c>
      <x:c r="C3" s="13" t="n">
        <x:v>32</x:v>
      </x:c>
      <x:c r="D3" s="13" t="n">
        <x:f>C3-B3</x:f>
        <x:v>-0.4213439999999977</x:v>
      </x:c>
      <x:c r="E3" t="str">
        <x:v>Использовать подтверждённые 32 м²</x:v>
      </x:c>
    </x:row>
    <x:row r="4" ht="15" hidden="0" customHeight="1">
      <x:c r="A4" t="str">
        <x:v>Наличники, пог. м</x:v>
      </x:c>
      <x:c r="B4" s="13" t="n">
        <x:v>114.275</x:v>
      </x:c>
      <x:c r="C4" s="13" t="n">
        <x:v>116</x:v>
      </x:c>
      <x:c r="D4" s="13" t="n">
        <x:f>C4-B4</x:f>
        <x:v>1.7249999999999943</x:v>
      </x:c>
      <x:c r="E4" t="str">
        <x:v>Добавить 1,725 м неучтённых деталей</x:v>
      </x:c>
    </x:row>
  </x:sheetData>
  <x:pageMargins left="0.7" right="0.7" top="0.75" bottom="0.75" header="0.3" footer="0.3"/>
</x:worksheet>
</file>