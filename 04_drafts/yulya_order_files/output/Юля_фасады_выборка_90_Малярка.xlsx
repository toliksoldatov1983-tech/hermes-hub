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cbbfe7a66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щий итог" sheetId="1" r:id="Rfd663e3c55494e01"/>
    <x:sheet xmlns:r="http://schemas.openxmlformats.org/officeDocument/2006/relationships" name="6010-R90B" sheetId="2" r:id="R80225c37a39a4628"/>
    <x:sheet xmlns:r="http://schemas.openxmlformats.org/officeDocument/2006/relationships" name="1000-N" sheetId="3" r:id="Rd2d889183287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0"/>
    <x:numFmt numFmtId="202" formatCode="#,##0.00 &quot;₸&quot;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color rgb="FF9C0006"/>
      <x:name val="Carlito"/>
    </x:font>
    <x:font>
      <x:b/>
      <x:sz val="11"/>
      <x:color rgb="FF9C6500"/>
      <x:name val="Carlito"/>
    </x:font>
    <x:font>
      <x:i/>
      <x:sz val="11"/>
      <x:color rgb="FF595959"/>
      <x:name val="Carlito"/>
    </x:font>
    <x:font>
      <x:b/>
      <x:sz val="11"/>
      <x:color rgb="FF006100"/>
      <x:name val="Carlito"/>
    </x:font>
  </x:fonts>
  <x:fills count="4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D9EAD3"/>
      </x:patternFill>
    </x:fill>
    <x:fill>
      <x:patternFill patternType="solid">
        <x:fgColor rgb="FFFCE8E6"/>
      </x:patternFill>
    </x:fill>
    <x:fill>
      <x:patternFill patternType="solid">
        <x:fgColor rgb="FFFFF4CC"/>
      </x:patternFill>
    </x:fill>
    <x:fill>
      <x:patternFill patternType="solid">
        <x:fgColor rgb="FFF2F2F2"/>
      </x:patternFill>
    </x:fill>
    <x:fill>
      <x:patternFill patternType="solid">
        <x:fgColor rgb="FFC6E0B4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FFE699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FFE699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FFE699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F2F2F2"/>
      </x:patternFill>
    </x:fill>
  </x:fills>
  <x:borders count="17">
    <x:border/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93C47D"/>
      </x:left>
      <x:right style="thin">
        <x:color rgb="FF93C47D"/>
      </x:right>
      <x:top style="thin">
        <x:color rgb="FF93C47D"/>
      </x:top>
      <x:bottom style="thin">
        <x:color rgb="FF93C47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medium">
        <x:color rgb="FF93C47D"/>
      </x:left>
      <x:right style="medium">
        <x:color rgb="FF93C47D"/>
      </x:right>
      <x:top style="medium">
        <x:color rgb="FF93C47D"/>
      </x:top>
      <x:bottom style="medium">
        <x:color rgb="FF93C47D"/>
      </x:bottom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</x:border>
    <x:border>
      <x:left style="thin">
        <x:color rgb="FFE6D690"/>
      </x:left>
      <x:right style="thin">
        <x:color rgb="FFE6D690"/>
      </x:right>
      <x:top style="thin">
        <x:color rgb="FFE6D690"/>
      </x:top>
      <x:bottom style="thin">
        <x:color rgb="FFE6D690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medium">
        <x:color rgb="FF70AD47"/>
      </x:left>
      <x:right style="medium">
        <x:color rgb="FF70AD47"/>
      </x:right>
      <x:top style="medium">
        <x:color rgb="FF70AD47"/>
      </x:top>
      <x:bottom style="medium">
        <x:color rgb="FF70AD47"/>
      </x:bottom>
    </x:border>
    <x:border>
      <x:left style="medium">
        <x:color rgb="FF5B9BD5"/>
      </x:left>
      <x:right style="medium">
        <x:color rgb="FF5B9BD5"/>
      </x:right>
      <x:top style="medium">
        <x:color rgb="FF5B9BD5"/>
      </x:top>
      <x:bottom style="medium">
        <x:color rgb="FF5B9BD5"/>
      </x:bottom>
    </x:border>
    <x:border>
      <x:left style="medium">
        <x:color rgb="FFBF9000"/>
      </x:left>
      <x:right style="medium">
        <x:color rgb="FFBF9000"/>
      </x:right>
      <x:top style="medium">
        <x:color rgb="FFBF9000"/>
      </x:top>
      <x:bottom style="medium">
        <x:color rgb="FFBF9000"/>
      </x:bottom>
    </x:border>
  </x:borders>
  <x:cellStyleXfs count="1">
    <x:xf numFmtId="0" fontId="0" fillId="0" borderId="0"/>
  </x:cellStyleXfs>
  <x:cellXfs count="3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horizontal="right"/>
    </x:xf>
    <x:xf numFmtId="200" fontId="2" fillId="5" borderId="2" xfId="0" applyNumberFormat="1" applyFont="1" applyFill="1" applyBorder="1" applyAlignment="1">
      <x:alignment horizontal="right"/>
    </x:xf>
    <x:xf numFmtId="201" fontId="2" fillId="5" borderId="2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3" xfId="0" applyNumberFormat="1" applyFont="1" applyFill="1" applyBorder="1"/>
    <x:xf numFmtId="0" fontId="4" fillId="6" borderId="3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 applyAlignment="1">
      <x:alignment vertical="center"/>
    </x:xf>
    <x:xf numFmtId="200" fontId="0" fillId="8" borderId="0" xfId="0" applyNumberFormat="1" applyFont="1" applyFill="1" applyBorder="1" applyAlignment="1">
      <x:alignment vertical="center"/>
    </x:xf>
    <x:xf numFmtId="200" fontId="0" fillId="9" borderId="0" xfId="0" applyNumberFormat="1" applyFont="1" applyFill="1" applyBorder="1" applyAlignment="1">
      <x:alignment vertical="center"/>
    </x:xf>
    <x:xf numFmtId="201" fontId="0" fillId="7" borderId="0" xfId="0" applyNumberFormat="1" applyFont="1" applyFill="1" applyBorder="1" applyAlignment="1">
      <x:alignment vertical="center"/>
    </x:xf>
    <x:xf numFmtId="201" fontId="0" fillId="8" borderId="0" xfId="0" applyNumberFormat="1" applyFont="1" applyFill="1" applyBorder="1" applyAlignment="1">
      <x:alignment vertical="center"/>
    </x:xf>
    <x:xf numFmtId="201" fontId="0" fillId="9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horizontal="center" vertical="center"/>
    </x:xf>
    <x:xf numFmtId="200" fontId="0" fillId="7" borderId="0" xfId="0" applyNumberFormat="1" applyFont="1" applyFill="1" applyBorder="1" applyAlignment="1">
      <x:alignment horizontal="center" vertical="center"/>
    </x:xf>
    <x:xf numFmtId="201" fontId="0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horizontal="center" vertical="center"/>
    </x:xf>
    <x:xf numFmtId="200" fontId="0" fillId="8" borderId="0" xfId="0" applyNumberFormat="1" applyFont="1" applyFill="1" applyBorder="1" applyAlignment="1">
      <x:alignment horizontal="center" vertical="center"/>
    </x:xf>
    <x:xf numFmtId="201" fontId="0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horizontal="center" vertical="center"/>
    </x:xf>
    <x:xf numFmtId="200" fontId="0" fillId="9" borderId="0" xfId="0" applyNumberFormat="1" applyFont="1" applyFill="1" applyBorder="1" applyAlignment="1">
      <x:alignment horizontal="center" vertical="center"/>
    </x:xf>
    <x:xf numFmtId="201" fontId="0" fillId="9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201" fontId="2" fillId="5" borderId="2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7" borderId="4" xfId="0" applyNumberFormat="1" applyFont="1" applyFill="1" applyBorder="1"/>
    <x:xf numFmtId="0" fontId="0" fillId="8" borderId="4" xfId="0" applyNumberFormat="1" applyFont="1" applyFill="1" applyBorder="1"/>
    <x:xf numFmtId="0" fontId="0" fillId="9" borderId="4" xfId="0" applyNumberFormat="1" applyFont="1" applyFill="1" applyBorder="1"/>
    <x:xf numFmtId="0" fontId="2" fillId="5" borderId="5" xfId="0" applyNumberFormat="1" applyFont="1" applyFill="1" applyBorder="1"/>
    <x:xf numFmtId="200" fontId="0" fillId="0" borderId="4" xfId="0" applyNumberFormat="1" applyFont="1" applyFill="1" applyBorder="1"/>
    <x:xf numFmtId="200" fontId="2" fillId="5" borderId="5" xfId="0" applyNumberFormat="1" applyFont="1" applyFill="1" applyBorder="1"/>
    <x:xf numFmtId="200" fontId="0" fillId="0" borderId="0" xfId="0" applyNumberFormat="1" applyFont="1" applyFill="1" applyBorder="1"/>
    <x:xf numFmtId="200" fontId="5" fillId="2" borderId="0" xfId="0" applyNumberFormat="1" applyFont="1" applyFill="1" applyBorder="1" applyAlignment="1">
      <x:alignment horizontal="center"/>
    </x:xf>
    <x:xf numFmtId="200" fontId="4" fillId="6" borderId="3" xfId="0" applyNumberFormat="1" applyFont="1" applyFill="1" applyBorder="1" applyAlignment="1">
      <x:alignment horizontal="center"/>
    </x:xf>
    <x:xf numFmtId="200" fontId="0" fillId="7" borderId="4" xfId="0" applyNumberFormat="1" applyFont="1" applyFill="1" applyBorder="1"/>
    <x:xf numFmtId="200" fontId="0" fillId="8" borderId="4" xfId="0" applyNumberFormat="1" applyFont="1" applyFill="1" applyBorder="1"/>
    <x:xf numFmtId="200" fontId="0" fillId="9" borderId="4" xfId="0" applyNumberFormat="1" applyFont="1" applyFill="1" applyBorder="1"/>
    <x:xf numFmtId="201" fontId="0" fillId="0" borderId="4" xfId="0" applyNumberFormat="1" applyFont="1" applyFill="1" applyBorder="1"/>
    <x:xf numFmtId="201" fontId="2" fillId="5" borderId="5" xfId="0" applyNumberFormat="1" applyFont="1" applyFill="1" applyBorder="1"/>
    <x:xf numFmtId="201" fontId="0" fillId="0" borderId="0" xfId="0" applyNumberFormat="1" applyFont="1" applyFill="1" applyBorder="1"/>
    <x:xf numFmtId="201" fontId="5" fillId="2" borderId="0" xfId="0" applyNumberFormat="1" applyFont="1" applyFill="1" applyBorder="1" applyAlignment="1">
      <x:alignment horizontal="center"/>
    </x:xf>
    <x:xf numFmtId="201" fontId="4" fillId="6" borderId="3" xfId="0" applyNumberFormat="1" applyFont="1" applyFill="1" applyBorder="1" applyAlignment="1">
      <x:alignment horizontal="center"/>
    </x:xf>
    <x:xf numFmtId="201" fontId="0" fillId="7" borderId="4" xfId="0" applyNumberFormat="1" applyFont="1" applyFill="1" applyBorder="1"/>
    <x:xf numFmtId="201" fontId="0" fillId="8" borderId="4" xfId="0" applyNumberFormat="1" applyFont="1" applyFill="1" applyBorder="1"/>
    <x:xf numFmtId="201" fontId="0" fillId="9" borderId="4" xfId="0" applyNumberFormat="1" applyFont="1" applyFill="1" applyBorder="1"/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3" xfId="0" applyNumberFormat="1" applyFont="1" applyFill="1" applyBorder="1"/>
    <x:xf numFmtId="0" fontId="4" fillId="11" borderId="3" xfId="0" applyNumberFormat="1" applyFont="1" applyFill="1" applyBorder="1" applyAlignment="1">
      <x:alignment horizontal="center"/>
    </x:xf>
    <x:xf numFmtId="0" fontId="0" fillId="12" borderId="4" xfId="0" applyNumberFormat="1" applyFont="1" applyFill="1" applyBorder="1"/>
    <x:xf numFmtId="0" fontId="0" fillId="13" borderId="4" xfId="0" applyNumberFormat="1" applyFont="1" applyFill="1" applyBorder="1"/>
    <x:xf numFmtId="0" fontId="0" fillId="14" borderId="4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5" xfId="0" applyNumberFormat="1" applyFont="1" applyFill="1" applyBorder="1"/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6" xfId="0" applyNumberFormat="1" applyFont="1" applyFill="1" applyBorder="1"/>
    <x:xf numFmtId="201" fontId="0" fillId="12" borderId="4" xfId="0" applyNumberFormat="1" applyFont="1" applyFill="1" applyBorder="1"/>
    <x:xf numFmtId="201" fontId="0" fillId="13" borderId="4" xfId="0" applyNumberFormat="1" applyFont="1" applyFill="1" applyBorder="1"/>
    <x:xf numFmtId="201" fontId="0" fillId="14" borderId="4" xfId="0" applyNumberFormat="1" applyFont="1" applyFill="1" applyBorder="1"/>
    <x:xf numFmtId="202" fontId="0" fillId="12" borderId="4" xfId="0" applyNumberFormat="1" applyFont="1" applyFill="1" applyBorder="1"/>
    <x:xf numFmtId="202" fontId="0" fillId="13" borderId="4" xfId="0" applyNumberFormat="1" applyFont="1" applyFill="1" applyBorder="1"/>
    <x:xf numFmtId="202" fontId="0" fillId="14" borderId="4" xfId="0" applyNumberFormat="1" applyFont="1" applyFill="1" applyBorder="1"/>
    <x:xf numFmtId="202" fontId="2" fillId="15" borderId="5" xfId="0" applyNumberFormat="1" applyFont="1" applyFill="1" applyBorder="1"/>
    <x:xf numFmtId="202" fontId="6" fillId="16" borderId="6" xfId="0" applyNumberFormat="1" applyFont="1" applyFill="1" applyBorder="1"/>
    <x:xf numFmtId="0" fontId="0" fillId="17" borderId="0" xfId="0" applyNumberFormat="1" applyFont="1" applyFill="1" applyBorder="1"/>
    <x:xf numFmtId="0" fontId="0" fillId="17" borderId="7" xfId="0" applyNumberFormat="1" applyFont="1" applyFill="1" applyBorder="1"/>
    <x:xf numFmtId="0" fontId="7" fillId="17" borderId="7" xfId="0" applyNumberFormat="1" applyFont="1" applyFill="1" applyBorder="1"/>
    <x:xf numFmtId="0" fontId="0" fillId="18" borderId="0" xfId="0" applyNumberFormat="1" applyFont="1" applyFill="1" applyBorder="1"/>
    <x:xf numFmtId="0" fontId="8" fillId="18" borderId="0" xfId="0" applyNumberFormat="1" applyFont="1" applyFill="1" applyBorder="1"/>
    <x:xf numFmtId="0" fontId="8" fillId="18" borderId="8" xfId="0" applyNumberFormat="1" applyFont="1" applyFill="1" applyBorder="1"/>
    <x:xf numFmtId="0" fontId="8" fillId="18" borderId="9" xfId="0" applyNumberFormat="1" applyFont="1" applyFill="1" applyBorder="1"/>
    <x:xf numFmtId="0" fontId="8" fillId="18" borderId="10" xfId="0" applyNumberFormat="1" applyFont="1" applyFill="1" applyBorder="1"/>
    <x:xf numFmtId="0" fontId="8" fillId="18" borderId="11" xfId="0" applyNumberFormat="1" applyFont="1" applyFill="1" applyBorder="1"/>
    <x:xf numFmtId="0" fontId="8" fillId="18" borderId="12" xfId="0" applyNumberFormat="1" applyFont="1" applyFill="1" applyBorder="1"/>
    <x:xf numFmtId="0" fontId="8" fillId="18" borderId="13" xfId="0" applyNumberFormat="1" applyFont="1" applyFill="1" applyBorder="1"/>
    <x:xf numFmtId="0" fontId="8" fillId="18" borderId="8" xfId="0" applyNumberFormat="1" applyFont="1" applyFill="1" applyBorder="1" applyAlignment="1">
      <x:alignment wrapText="1"/>
    </x:xf>
    <x:xf numFmtId="0" fontId="8" fillId="18" borderId="9" xfId="0" applyNumberFormat="1" applyFont="1" applyFill="1" applyBorder="1" applyAlignment="1">
      <x:alignment wrapText="1"/>
    </x:xf>
    <x:xf numFmtId="0" fontId="8" fillId="18" borderId="10" xfId="0" applyNumberFormat="1" applyFont="1" applyFill="1" applyBorder="1" applyAlignment="1">
      <x:alignment wrapText="1"/>
    </x:xf>
    <x:xf numFmtId="0" fontId="8" fillId="18" borderId="11" xfId="0" applyNumberFormat="1" applyFont="1" applyFill="1" applyBorder="1" applyAlignment="1">
      <x:alignment wrapText="1"/>
    </x:xf>
    <x:xf numFmtId="0" fontId="8" fillId="18" borderId="12" xfId="0" applyNumberFormat="1" applyFont="1" applyFill="1" applyBorder="1" applyAlignment="1">
      <x:alignment wrapText="1"/>
    </x:xf>
    <x:xf numFmtId="0" fontId="8" fillId="18" borderId="13" xfId="0" applyNumberFormat="1" applyFont="1" applyFill="1" applyBorder="1" applyAlignment="1">
      <x:alignment wrapText="1"/>
    </x:xf>
    <x:xf numFmtId="0" fontId="6" fillId="19" borderId="6" xfId="0" applyNumberFormat="1" applyFont="1" applyFill="1" applyBorder="1"/>
    <x:xf numFmtId="202" fontId="6" fillId="19" borderId="6" xfId="0" applyNumberFormat="1" applyFont="1" applyFill="1" applyBorder="1"/>
    <x:xf numFmtId="0" fontId="9" fillId="19" borderId="6" xfId="0" applyNumberFormat="1" applyFont="1" applyFill="1" applyBorder="1"/>
    <x:xf numFmtId="202" fontId="9" fillId="19" borderId="6" xfId="0" applyNumberFormat="1" applyFont="1" applyFill="1" applyBorder="1"/>
    <x:xf numFmtId="0" fontId="9" fillId="19" borderId="14" xfId="0" applyNumberFormat="1" applyFont="1" applyFill="1" applyBorder="1"/>
    <x:xf numFmtId="202" fontId="9" fillId="19" borderId="14" xfId="0" applyNumberFormat="1" applyFont="1" applyFill="1" applyBorder="1"/>
    <x:xf numFmtId="202" fontId="0" fillId="7" borderId="4" xfId="0" applyNumberFormat="1" applyFont="1" applyFill="1" applyBorder="1"/>
    <x:xf numFmtId="202" fontId="0" fillId="8" borderId="4" xfId="0" applyNumberFormat="1" applyFont="1" applyFill="1" applyBorder="1"/>
    <x:xf numFmtId="202" fontId="0" fillId="9" borderId="4" xfId="0" applyNumberFormat="1" applyFont="1" applyFill="1" applyBorder="1"/>
    <x:xf numFmtId="202" fontId="2" fillId="5" borderId="5" xfId="0" applyNumberFormat="1" applyFont="1" applyFill="1" applyBorder="1"/>
    <x:xf numFmtId="0" fontId="0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borderId="0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0" fontId="4" fillId="21" borderId="3" xfId="0" applyNumberFormat="1" applyFont="1" applyFill="1" applyBorder="1"/>
    <x:xf numFmtId="0" fontId="4" fillId="21" borderId="3" xfId="0" applyNumberFormat="1" applyFont="1" applyFill="1" applyBorder="1" applyAlignment="1">
      <x:alignment wrapText="1"/>
    </x:xf>
    <x:xf numFmtId="0" fontId="4" fillId="21" borderId="3" xfId="0" applyNumberFormat="1" applyFont="1" applyFill="1" applyBorder="1" applyAlignment="1">
      <x:alignment horizontal="center" wrapText="1"/>
    </x:xf>
    <x:xf numFmtId="0" fontId="0" fillId="22" borderId="0" xfId="0" applyNumberFormat="1" applyFont="1" applyFill="1" applyBorder="1"/>
    <x:xf numFmtId="0" fontId="0" fillId="22" borderId="4" xfId="0" applyNumberFormat="1" applyFont="1" applyFill="1" applyBorder="1"/>
    <x:xf numFmtId="0" fontId="0" fillId="23" borderId="0" xfId="0" applyNumberFormat="1" applyFont="1" applyFill="1" applyBorder="1"/>
    <x:xf numFmtId="0" fontId="0" fillId="23" borderId="4" xfId="0" applyNumberFormat="1" applyFont="1" applyFill="1" applyBorder="1"/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2" fillId="24" borderId="15" xfId="0" applyNumberFormat="1" applyFont="1" applyFill="1" applyBorder="1"/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2" fillId="25" borderId="16" xfId="0" applyNumberFormat="1" applyFont="1" applyFill="1" applyBorder="1"/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14" xfId="0" applyNumberFormat="1" applyFont="1" applyFill="1" applyBorder="1"/>
    <x:xf numFmtId="0" fontId="0" fillId="27" borderId="0" xfId="0" applyNumberFormat="1" applyFont="1" applyFill="1" applyBorder="1"/>
    <x:xf numFmtId="0" fontId="9" fillId="27" borderId="0" xfId="0" applyNumberFormat="1" applyFont="1" applyFill="1" applyBorder="1"/>
    <x:xf numFmtId="0" fontId="9" fillId="27" borderId="14" xfId="0" applyNumberFormat="1" applyFont="1" applyFill="1" applyBorder="1"/>
    <x:xf numFmtId="0" fontId="0" fillId="28" borderId="0" xfId="0" applyNumberFormat="1" applyFont="1" applyFill="1" applyBorder="1"/>
    <x:xf numFmtId="0" fontId="8" fillId="28" borderId="0" xfId="0" applyNumberFormat="1" applyFont="1" applyFill="1" applyBorder="1"/>
    <x:xf numFmtId="0" fontId="8" fillId="28" borderId="0" xfId="0" applyNumberFormat="1" applyFont="1" applyFill="1" applyBorder="1" applyAlignment="1">
      <x:alignment wrapText="1"/>
    </x:xf>
    <x:xf numFmtId="201" fontId="0" fillId="22" borderId="4" xfId="0" applyNumberFormat="1" applyFont="1" applyFill="1" applyBorder="1"/>
    <x:xf numFmtId="201" fontId="2" fillId="24" borderId="15" xfId="0" applyNumberFormat="1" applyFont="1" applyFill="1" applyBorder="1"/>
    <x:xf numFmtId="201" fontId="0" fillId="23" borderId="4" xfId="0" applyNumberFormat="1" applyFont="1" applyFill="1" applyBorder="1"/>
    <x:xf numFmtId="201" fontId="2" fillId="25" borderId="16" xfId="0" applyNumberFormat="1" applyFont="1" applyFill="1" applyBorder="1"/>
    <x:xf numFmtId="203" fontId="0" fillId="22" borderId="4" xfId="0" applyNumberFormat="1" applyFont="1" applyFill="1" applyBorder="1"/>
    <x:xf numFmtId="203" fontId="2" fillId="24" borderId="15" xfId="0" applyNumberFormat="1" applyFont="1" applyFill="1" applyBorder="1"/>
    <x:xf numFmtId="203" fontId="0" fillId="0" borderId="0" xfId="0" applyNumberFormat="1" applyFont="1" applyFill="1" applyBorder="1"/>
    <x:xf numFmtId="203" fontId="0" fillId="23" borderId="4" xfId="0" applyNumberFormat="1" applyFont="1" applyFill="1" applyBorder="1"/>
    <x:xf numFmtId="203" fontId="2" fillId="25" borderId="16" xfId="0" applyNumberFormat="1" applyFont="1" applyFill="1" applyBorder="1"/>
    <x:xf numFmtId="202" fontId="0" fillId="22" borderId="4" xfId="0" applyNumberFormat="1" applyFont="1" applyFill="1" applyBorder="1"/>
    <x:xf numFmtId="202" fontId="2" fillId="24" borderId="15" xfId="0" applyNumberFormat="1" applyFont="1" applyFill="1" applyBorder="1"/>
    <x:xf numFmtId="202" fontId="0" fillId="0" borderId="0" xfId="0" applyNumberFormat="1" applyFont="1" applyFill="1" applyBorder="1"/>
    <x:xf numFmtId="202" fontId="0" fillId="23" borderId="4" xfId="0" applyNumberFormat="1" applyFont="1" applyFill="1" applyBorder="1"/>
    <x:xf numFmtId="202" fontId="2" fillId="25" borderId="16" xfId="0" applyNumberFormat="1" applyFont="1" applyFill="1" applyBorder="1"/>
    <x:xf numFmtId="202" fontId="2" fillId="26" borderId="14" xfId="0" applyNumberFormat="1" applyFont="1" applyFill="1" applyBorder="1"/>
    <x:xf numFmtId="202" fontId="9" fillId="27" borderId="14" xfId="0" applyNumberFormat="1" applyFont="1" applyFill="1" applyBorder="1"/>
    <x:xf numFmtId="0" fontId="4" fillId="21" borderId="3" xfId="0" applyNumberFormat="1" applyFont="1" applyFill="1" applyBorder="1" applyAlignment="1">
      <x:alignment horizontal="center" vertical="center" wrapText="1"/>
    </x:xf>
    <x:xf numFmtId="0" fontId="0" fillId="22" borderId="4" xfId="0" applyNumberFormat="1" applyFont="1" applyFill="1" applyBorder="1" applyAlignment="1">
      <x:alignment vertical="center"/>
    </x:xf>
    <x:xf numFmtId="201" fontId="0" fillId="22" borderId="4" xfId="0" applyNumberFormat="1" applyFont="1" applyFill="1" applyBorder="1" applyAlignment="1">
      <x:alignment vertical="center"/>
    </x:xf>
    <x:xf numFmtId="203" fontId="0" fillId="22" borderId="4" xfId="0" applyNumberFormat="1" applyFont="1" applyFill="1" applyBorder="1" applyAlignment="1">
      <x:alignment vertical="center"/>
    </x:xf>
    <x:xf numFmtId="202" fontId="0" fillId="22" borderId="4" xfId="0" applyNumberFormat="1" applyFont="1" applyFill="1" applyBorder="1" applyAlignment="1">
      <x:alignment vertical="center"/>
    </x:xf>
    <x:xf numFmtId="0" fontId="2" fillId="24" borderId="15" xfId="0" applyNumberFormat="1" applyFont="1" applyFill="1" applyBorder="1" applyAlignment="1">
      <x:alignment vertical="center"/>
    </x:xf>
    <x:xf numFmtId="201" fontId="2" fillId="24" borderId="15" xfId="0" applyNumberFormat="1" applyFont="1" applyFill="1" applyBorder="1" applyAlignment="1">
      <x:alignment vertical="center"/>
    </x:xf>
    <x:xf numFmtId="203" fontId="2" fillId="24" borderId="15" xfId="0" applyNumberFormat="1" applyFont="1" applyFill="1" applyBorder="1" applyAlignment="1">
      <x:alignment vertical="center"/>
    </x:xf>
    <x:xf numFmtId="202" fontId="2" fillId="24" borderId="1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23" borderId="4" xfId="0" applyNumberFormat="1" applyFont="1" applyFill="1" applyBorder="1" applyAlignment="1">
      <x:alignment vertical="center"/>
    </x:xf>
    <x:xf numFmtId="201" fontId="0" fillId="23" borderId="4" xfId="0" applyNumberFormat="1" applyFont="1" applyFill="1" applyBorder="1" applyAlignment="1">
      <x:alignment vertical="center"/>
    </x:xf>
    <x:xf numFmtId="203" fontId="0" fillId="23" borderId="4" xfId="0" applyNumberFormat="1" applyFont="1" applyFill="1" applyBorder="1" applyAlignment="1">
      <x:alignment vertical="center"/>
    </x:xf>
    <x:xf numFmtId="202" fontId="0" fillId="23" borderId="4" xfId="0" applyNumberFormat="1" applyFont="1" applyFill="1" applyBorder="1" applyAlignment="1">
      <x:alignment vertical="center"/>
    </x:xf>
    <x:xf numFmtId="0" fontId="2" fillId="25" borderId="16" xfId="0" applyNumberFormat="1" applyFont="1" applyFill="1" applyBorder="1" applyAlignment="1">
      <x:alignment vertical="center"/>
    </x:xf>
    <x:xf numFmtId="201" fontId="2" fillId="25" borderId="16" xfId="0" applyNumberFormat="1" applyFont="1" applyFill="1" applyBorder="1" applyAlignment="1">
      <x:alignment vertical="center"/>
    </x:xf>
    <x:xf numFmtId="203" fontId="2" fillId="25" borderId="16" xfId="0" applyNumberFormat="1" applyFont="1" applyFill="1" applyBorder="1" applyAlignment="1">
      <x:alignment vertical="center"/>
    </x:xf>
    <x:xf numFmtId="202" fontId="2" fillId="25" borderId="16" xfId="0" applyNumberFormat="1" applyFont="1" applyFill="1" applyBorder="1" applyAlignment="1">
      <x:alignment vertical="center"/>
    </x:xf>
    <x:xf numFmtId="0" fontId="2" fillId="26" borderId="14" xfId="0" applyNumberFormat="1" applyFont="1" applyFill="1" applyBorder="1" applyAlignment="1">
      <x:alignment vertical="center"/>
    </x:xf>
    <x:xf numFmtId="202" fontId="2" fillId="26" borderId="14" xfId="0" applyNumberFormat="1" applyFont="1" applyFill="1" applyBorder="1" applyAlignment="1">
      <x:alignment vertical="center"/>
    </x:xf>
    <x:xf numFmtId="0" fontId="9" fillId="27" borderId="14" xfId="0" applyNumberFormat="1" applyFont="1" applyFill="1" applyBorder="1" applyAlignment="1">
      <x:alignment vertical="center"/>
    </x:xf>
    <x:xf numFmtId="202" fontId="9" fillId="27" borderId="14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4" fillId="2" borderId="0" xfId="0" applyNumberFormat="1" applyFont="1" applyFill="1" applyBorder="1" applyAlignment="1">
      <x:alignment horizontal="center"/>
    </x:xf>
    <x:xf numFmtId="201" fontId="4" fillId="2" borderId="0" xfId="0" applyNumberFormat="1" applyFont="1" applyFill="1" applyBorder="1" applyAlignment="1">
      <x:alignment horizontal="center"/>
    </x:xf>
    <x:xf numFmtId="0" fontId="0" fillId="29" borderId="0" xfId="0" applyNumberFormat="1" applyFont="1" applyFill="1" applyBorder="1"/>
    <x:xf numFmtId="0" fontId="4" fillId="29" borderId="0" xfId="0" applyNumberFormat="1" applyFont="1" applyFill="1" applyBorder="1"/>
    <x:xf numFmtId="0" fontId="4" fillId="29" borderId="0" xfId="0" applyNumberFormat="1" applyFont="1" applyFill="1" applyBorder="1" applyAlignment="1">
      <x:alignment horizontal="center"/>
    </x:xf>
    <x:xf numFmtId="0" fontId="0" fillId="30" borderId="0" xfId="0" applyNumberFormat="1" applyFont="1" applyFill="1" applyBorder="1"/>
    <x:xf numFmtId="0" fontId="4" fillId="30" borderId="0" xfId="0" applyNumberFormat="1" applyFont="1" applyFill="1" applyBorder="1"/>
    <x:xf numFmtId="0" fontId="4" fillId="30" borderId="3" xfId="0" applyNumberFormat="1" applyFont="1" applyFill="1" applyBorder="1"/>
    <x:xf numFmtId="0" fontId="4" fillId="30" borderId="3" xfId="0" applyNumberFormat="1" applyFont="1" applyFill="1" applyBorder="1" applyAlignment="1">
      <x:alignment wrapText="1"/>
    </x:xf>
    <x:xf numFmtId="0" fontId="4" fillId="30" borderId="3" xfId="0" applyNumberFormat="1" applyFont="1" applyFill="1" applyBorder="1" applyAlignment="1">
      <x:alignment horizontal="center" wrapText="1"/>
    </x:xf>
    <x:xf numFmtId="0" fontId="0" fillId="31" borderId="0" xfId="0" applyNumberFormat="1" applyFont="1" applyFill="1" applyBorder="1"/>
    <x:xf numFmtId="0" fontId="0" fillId="31" borderId="4" xfId="0" applyNumberFormat="1" applyFont="1" applyFill="1" applyBorder="1"/>
    <x:xf numFmtId="0" fontId="0" fillId="32" borderId="0" xfId="0" applyNumberFormat="1" applyFont="1" applyFill="1" applyBorder="1"/>
    <x:xf numFmtId="0" fontId="0" fillId="32" borderId="4" xfId="0" applyNumberFormat="1" applyFont="1" applyFill="1" applyBorder="1"/>
    <x:xf numFmtId="0" fontId="0" fillId="33" borderId="0" xfId="0" applyNumberFormat="1" applyFont="1" applyFill="1" applyBorder="1"/>
    <x:xf numFmtId="0" fontId="2" fillId="33" borderId="0" xfId="0" applyNumberFormat="1" applyFont="1" applyFill="1" applyBorder="1"/>
    <x:xf numFmtId="0" fontId="2" fillId="33" borderId="15" xfId="0" applyNumberFormat="1" applyFont="1" applyFill="1" applyBorder="1"/>
    <x:xf numFmtId="0" fontId="0" fillId="34" borderId="0" xfId="0" applyNumberFormat="1" applyFont="1" applyFill="1" applyBorder="1"/>
    <x:xf numFmtId="0" fontId="2" fillId="34" borderId="0" xfId="0" applyNumberFormat="1" applyFont="1" applyFill="1" applyBorder="1"/>
    <x:xf numFmtId="0" fontId="2" fillId="34" borderId="16" xfId="0" applyNumberFormat="1" applyFont="1" applyFill="1" applyBorder="1"/>
    <x:xf numFmtId="0" fontId="0" fillId="35" borderId="0" xfId="0" applyNumberFormat="1" applyFont="1" applyFill="1" applyBorder="1"/>
    <x:xf numFmtId="0" fontId="2" fillId="35" borderId="0" xfId="0" applyNumberFormat="1" applyFont="1" applyFill="1" applyBorder="1"/>
    <x:xf numFmtId="0" fontId="2" fillId="35" borderId="14" xfId="0" applyNumberFormat="1" applyFont="1" applyFill="1" applyBorder="1"/>
    <x:xf numFmtId="0" fontId="0" fillId="36" borderId="0" xfId="0" applyNumberFormat="1" applyFont="1" applyFill="1" applyBorder="1"/>
    <x:xf numFmtId="0" fontId="9" fillId="36" borderId="0" xfId="0" applyNumberFormat="1" applyFont="1" applyFill="1" applyBorder="1"/>
    <x:xf numFmtId="0" fontId="9" fillId="36" borderId="14" xfId="0" applyNumberFormat="1" applyFont="1" applyFill="1" applyBorder="1"/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8" fillId="37" borderId="0" xfId="0" applyNumberFormat="1" applyFont="1" applyFill="1" applyBorder="1" applyAlignment="1">
      <x:alignment wrapText="1"/>
    </x:xf>
    <x:xf numFmtId="201" fontId="0" fillId="31" borderId="4" xfId="0" applyNumberFormat="1" applyFont="1" applyFill="1" applyBorder="1"/>
    <x:xf numFmtId="201" fontId="2" fillId="33" borderId="15" xfId="0" applyNumberFormat="1" applyFont="1" applyFill="1" applyBorder="1"/>
    <x:xf numFmtId="201" fontId="0" fillId="32" borderId="4" xfId="0" applyNumberFormat="1" applyFont="1" applyFill="1" applyBorder="1"/>
    <x:xf numFmtId="201" fontId="2" fillId="34" borderId="16" xfId="0" applyNumberFormat="1" applyFont="1" applyFill="1" applyBorder="1"/>
    <x:xf numFmtId="203" fontId="0" fillId="31" borderId="4" xfId="0" applyNumberFormat="1" applyFont="1" applyFill="1" applyBorder="1"/>
    <x:xf numFmtId="203" fontId="2" fillId="33" borderId="15" xfId="0" applyNumberFormat="1" applyFont="1" applyFill="1" applyBorder="1"/>
    <x:xf numFmtId="203" fontId="0" fillId="32" borderId="4" xfId="0" applyNumberFormat="1" applyFont="1" applyFill="1" applyBorder="1"/>
    <x:xf numFmtId="203" fontId="2" fillId="34" borderId="16" xfId="0" applyNumberFormat="1" applyFont="1" applyFill="1" applyBorder="1"/>
    <x:xf numFmtId="202" fontId="0" fillId="31" borderId="4" xfId="0" applyNumberFormat="1" applyFont="1" applyFill="1" applyBorder="1"/>
    <x:xf numFmtId="202" fontId="2" fillId="33" borderId="15" xfId="0" applyNumberFormat="1" applyFont="1" applyFill="1" applyBorder="1"/>
    <x:xf numFmtId="202" fontId="0" fillId="32" borderId="4" xfId="0" applyNumberFormat="1" applyFont="1" applyFill="1" applyBorder="1"/>
    <x:xf numFmtId="202" fontId="2" fillId="34" borderId="16" xfId="0" applyNumberFormat="1" applyFont="1" applyFill="1" applyBorder="1"/>
    <x:xf numFmtId="202" fontId="2" fillId="35" borderId="14" xfId="0" applyNumberFormat="1" applyFont="1" applyFill="1" applyBorder="1"/>
    <x:xf numFmtId="202" fontId="9" fillId="36" borderId="14" xfId="0" applyNumberFormat="1" applyFont="1" applyFill="1" applyBorder="1"/>
    <x:xf numFmtId="0" fontId="4" fillId="30" borderId="3" xfId="0" applyNumberFormat="1" applyFont="1" applyFill="1" applyBorder="1" applyAlignment="1">
      <x:alignment horizontal="center" vertical="center" wrapText="1"/>
    </x:xf>
    <x:xf numFmtId="0" fontId="0" fillId="31" borderId="4" xfId="0" applyNumberFormat="1" applyFont="1" applyFill="1" applyBorder="1" applyAlignment="1">
      <x:alignment vertical="center"/>
    </x:xf>
    <x:xf numFmtId="201" fontId="0" fillId="31" borderId="4" xfId="0" applyNumberFormat="1" applyFont="1" applyFill="1" applyBorder="1" applyAlignment="1">
      <x:alignment vertical="center"/>
    </x:xf>
    <x:xf numFmtId="203" fontId="0" fillId="31" borderId="4" xfId="0" applyNumberFormat="1" applyFont="1" applyFill="1" applyBorder="1" applyAlignment="1">
      <x:alignment vertical="center"/>
    </x:xf>
    <x:xf numFmtId="202" fontId="0" fillId="31" borderId="4" xfId="0" applyNumberFormat="1" applyFont="1" applyFill="1" applyBorder="1" applyAlignment="1">
      <x:alignment vertical="center"/>
    </x:xf>
    <x:xf numFmtId="0" fontId="2" fillId="33" borderId="15" xfId="0" applyNumberFormat="1" applyFont="1" applyFill="1" applyBorder="1" applyAlignment="1">
      <x:alignment vertical="center"/>
    </x:xf>
    <x:xf numFmtId="201" fontId="2" fillId="33" borderId="15" xfId="0" applyNumberFormat="1" applyFont="1" applyFill="1" applyBorder="1" applyAlignment="1">
      <x:alignment vertical="center"/>
    </x:xf>
    <x:xf numFmtId="203" fontId="2" fillId="33" borderId="15" xfId="0" applyNumberFormat="1" applyFont="1" applyFill="1" applyBorder="1" applyAlignment="1">
      <x:alignment vertical="center"/>
    </x:xf>
    <x:xf numFmtId="202" fontId="2" fillId="33" borderId="15" xfId="0" applyNumberFormat="1" applyFont="1" applyFill="1" applyBorder="1" applyAlignment="1">
      <x:alignment vertical="center"/>
    </x:xf>
    <x:xf numFmtId="0" fontId="0" fillId="32" borderId="4" xfId="0" applyNumberFormat="1" applyFont="1" applyFill="1" applyBorder="1" applyAlignment="1">
      <x:alignment vertical="center"/>
    </x:xf>
    <x:xf numFmtId="201" fontId="0" fillId="32" borderId="4" xfId="0" applyNumberFormat="1" applyFont="1" applyFill="1" applyBorder="1" applyAlignment="1">
      <x:alignment vertical="center"/>
    </x:xf>
    <x:xf numFmtId="203" fontId="0" fillId="32" borderId="4" xfId="0" applyNumberFormat="1" applyFont="1" applyFill="1" applyBorder="1" applyAlignment="1">
      <x:alignment vertical="center"/>
    </x:xf>
    <x:xf numFmtId="202" fontId="0" fillId="32" borderId="4" xfId="0" applyNumberFormat="1" applyFont="1" applyFill="1" applyBorder="1" applyAlignment="1">
      <x:alignment vertical="center"/>
    </x:xf>
    <x:xf numFmtId="0" fontId="2" fillId="34" borderId="16" xfId="0" applyNumberFormat="1" applyFont="1" applyFill="1" applyBorder="1" applyAlignment="1">
      <x:alignment vertical="center"/>
    </x:xf>
    <x:xf numFmtId="201" fontId="2" fillId="34" borderId="16" xfId="0" applyNumberFormat="1" applyFont="1" applyFill="1" applyBorder="1" applyAlignment="1">
      <x:alignment vertical="center"/>
    </x:xf>
    <x:xf numFmtId="203" fontId="2" fillId="34" borderId="16" xfId="0" applyNumberFormat="1" applyFont="1" applyFill="1" applyBorder="1" applyAlignment="1">
      <x:alignment vertical="center"/>
    </x:xf>
    <x:xf numFmtId="202" fontId="2" fillId="34" borderId="16" xfId="0" applyNumberFormat="1" applyFont="1" applyFill="1" applyBorder="1" applyAlignment="1">
      <x:alignment vertical="center"/>
    </x:xf>
    <x:xf numFmtId="0" fontId="2" fillId="35" borderId="14" xfId="0" applyNumberFormat="1" applyFont="1" applyFill="1" applyBorder="1" applyAlignment="1">
      <x:alignment vertical="center"/>
    </x:xf>
    <x:xf numFmtId="202" fontId="2" fillId="35" borderId="14" xfId="0" applyNumberFormat="1" applyFont="1" applyFill="1" applyBorder="1" applyAlignment="1">
      <x:alignment vertical="center"/>
    </x:xf>
    <x:xf numFmtId="0" fontId="9" fillId="36" borderId="14" xfId="0" applyNumberFormat="1" applyFont="1" applyFill="1" applyBorder="1" applyAlignment="1">
      <x:alignment vertical="center"/>
    </x:xf>
    <x:xf numFmtId="202" fontId="9" fillId="36" borderId="14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/>
    <x:xf numFmtId="0" fontId="4" fillId="38" borderId="0" xfId="0" applyNumberFormat="1" applyFont="1" applyFill="1" applyBorder="1"/>
    <x:xf numFmtId="0" fontId="4" fillId="38" borderId="0" xfId="0" applyNumberFormat="1" applyFont="1" applyFill="1" applyBorder="1" applyAlignment="1">
      <x:alignment horizontal="center"/>
    </x:xf>
    <x:xf numFmtId="0" fontId="0" fillId="39" borderId="0" xfId="0" applyNumberFormat="1" applyFont="1" applyFill="1" applyBorder="1"/>
    <x:xf numFmtId="0" fontId="4" fillId="39" borderId="0" xfId="0" applyNumberFormat="1" applyFont="1" applyFill="1" applyBorder="1"/>
    <x:xf numFmtId="0" fontId="4" fillId="39" borderId="3" xfId="0" applyNumberFormat="1" applyFont="1" applyFill="1" applyBorder="1"/>
    <x:xf numFmtId="0" fontId="4" fillId="39" borderId="3" xfId="0" applyNumberFormat="1" applyFont="1" applyFill="1" applyBorder="1" applyAlignment="1">
      <x:alignment wrapText="1"/>
    </x:xf>
    <x:xf numFmtId="0" fontId="4" fillId="39" borderId="3" xfId="0" applyNumberFormat="1" applyFont="1" applyFill="1" applyBorder="1" applyAlignment="1">
      <x:alignment horizontal="center" wrapText="1"/>
    </x:xf>
    <x:xf numFmtId="0" fontId="0" fillId="40" borderId="0" xfId="0" applyNumberFormat="1" applyFont="1" applyFill="1" applyBorder="1"/>
    <x:xf numFmtId="0" fontId="0" fillId="40" borderId="4" xfId="0" applyNumberFormat="1" applyFont="1" applyFill="1" applyBorder="1"/>
    <x:xf numFmtId="0" fontId="0" fillId="41" borderId="0" xfId="0" applyNumberFormat="1" applyFont="1" applyFill="1" applyBorder="1"/>
    <x:xf numFmtId="0" fontId="0" fillId="41" borderId="4" xfId="0" applyNumberFormat="1" applyFont="1" applyFill="1" applyBorder="1"/>
    <x:xf numFmtId="0" fontId="0" fillId="42" borderId="0" xfId="0" applyNumberFormat="1" applyFont="1" applyFill="1" applyBorder="1"/>
    <x:xf numFmtId="0" fontId="2" fillId="42" borderId="0" xfId="0" applyNumberFormat="1" applyFont="1" applyFill="1" applyBorder="1"/>
    <x:xf numFmtId="0" fontId="2" fillId="42" borderId="15" xfId="0" applyNumberFormat="1" applyFont="1" applyFill="1" applyBorder="1"/>
    <x:xf numFmtId="0" fontId="0" fillId="43" borderId="0" xfId="0" applyNumberFormat="1" applyFont="1" applyFill="1" applyBorder="1"/>
    <x:xf numFmtId="0" fontId="2" fillId="43" borderId="0" xfId="0" applyNumberFormat="1" applyFont="1" applyFill="1" applyBorder="1"/>
    <x:xf numFmtId="0" fontId="2" fillId="43" borderId="16" xfId="0" applyNumberFormat="1" applyFont="1" applyFill="1" applyBorder="1"/>
    <x:xf numFmtId="0" fontId="0" fillId="44" borderId="0" xfId="0" applyNumberFormat="1" applyFont="1" applyFill="1" applyBorder="1"/>
    <x:xf numFmtId="0" fontId="2" fillId="44" borderId="0" xfId="0" applyNumberFormat="1" applyFont="1" applyFill="1" applyBorder="1"/>
    <x:xf numFmtId="0" fontId="2" fillId="44" borderId="14" xfId="0" applyNumberFormat="1" applyFont="1" applyFill="1" applyBorder="1"/>
    <x:xf numFmtId="0" fontId="0" fillId="45" borderId="0" xfId="0" applyNumberFormat="1" applyFont="1" applyFill="1" applyBorder="1"/>
    <x:xf numFmtId="0" fontId="9" fillId="45" borderId="0" xfId="0" applyNumberFormat="1" applyFont="1" applyFill="1" applyBorder="1"/>
    <x:xf numFmtId="0" fontId="9" fillId="45" borderId="14" xfId="0" applyNumberFormat="1" applyFont="1" applyFill="1" applyBorder="1"/>
    <x:xf numFmtId="0" fontId="0" fillId="46" borderId="0" xfId="0" applyNumberFormat="1" applyFont="1" applyFill="1" applyBorder="1"/>
    <x:xf numFmtId="0" fontId="8" fillId="46" borderId="0" xfId="0" applyNumberFormat="1" applyFont="1" applyFill="1" applyBorder="1"/>
    <x:xf numFmtId="0" fontId="8" fillId="46" borderId="0" xfId="0" applyNumberFormat="1" applyFont="1" applyFill="1" applyBorder="1" applyAlignment="1">
      <x:alignment wrapText="1"/>
    </x:xf>
    <x:xf numFmtId="201" fontId="0" fillId="40" borderId="4" xfId="0" applyNumberFormat="1" applyFont="1" applyFill="1" applyBorder="1"/>
    <x:xf numFmtId="201" fontId="2" fillId="42" borderId="15" xfId="0" applyNumberFormat="1" applyFont="1" applyFill="1" applyBorder="1"/>
    <x:xf numFmtId="201" fontId="0" fillId="41" borderId="4" xfId="0" applyNumberFormat="1" applyFont="1" applyFill="1" applyBorder="1"/>
    <x:xf numFmtId="201" fontId="2" fillId="43" borderId="16" xfId="0" applyNumberFormat="1" applyFont="1" applyFill="1" applyBorder="1"/>
    <x:xf numFmtId="203" fontId="0" fillId="40" borderId="4" xfId="0" applyNumberFormat="1" applyFont="1" applyFill="1" applyBorder="1"/>
    <x:xf numFmtId="203" fontId="2" fillId="42" borderId="15" xfId="0" applyNumberFormat="1" applyFont="1" applyFill="1" applyBorder="1"/>
    <x:xf numFmtId="203" fontId="0" fillId="41" borderId="4" xfId="0" applyNumberFormat="1" applyFont="1" applyFill="1" applyBorder="1"/>
    <x:xf numFmtId="203" fontId="2" fillId="43" borderId="16" xfId="0" applyNumberFormat="1" applyFont="1" applyFill="1" applyBorder="1"/>
    <x:xf numFmtId="202" fontId="0" fillId="40" borderId="4" xfId="0" applyNumberFormat="1" applyFont="1" applyFill="1" applyBorder="1"/>
    <x:xf numFmtId="202" fontId="2" fillId="42" borderId="15" xfId="0" applyNumberFormat="1" applyFont="1" applyFill="1" applyBorder="1"/>
    <x:xf numFmtId="202" fontId="0" fillId="41" borderId="4" xfId="0" applyNumberFormat="1" applyFont="1" applyFill="1" applyBorder="1"/>
    <x:xf numFmtId="202" fontId="2" fillId="43" borderId="16" xfId="0" applyNumberFormat="1" applyFont="1" applyFill="1" applyBorder="1"/>
    <x:xf numFmtId="202" fontId="2" fillId="44" borderId="14" xfId="0" applyNumberFormat="1" applyFont="1" applyFill="1" applyBorder="1"/>
    <x:xf numFmtId="202" fontId="9" fillId="45" borderId="14" xfId="0" applyNumberFormat="1" applyFont="1" applyFill="1" applyBorder="1"/>
    <x:xf numFmtId="0" fontId="4" fillId="39" borderId="3" xfId="0" applyNumberFormat="1" applyFont="1" applyFill="1" applyBorder="1" applyAlignment="1">
      <x:alignment horizontal="center" vertical="center" wrapText="1"/>
    </x:xf>
    <x:xf numFmtId="0" fontId="0" fillId="40" borderId="4" xfId="0" applyNumberFormat="1" applyFont="1" applyFill="1" applyBorder="1" applyAlignment="1">
      <x:alignment vertical="center"/>
    </x:xf>
    <x:xf numFmtId="201" fontId="0" fillId="40" borderId="4" xfId="0" applyNumberFormat="1" applyFont="1" applyFill="1" applyBorder="1" applyAlignment="1">
      <x:alignment vertical="center"/>
    </x:xf>
    <x:xf numFmtId="203" fontId="0" fillId="40" borderId="4" xfId="0" applyNumberFormat="1" applyFont="1" applyFill="1" applyBorder="1" applyAlignment="1">
      <x:alignment vertical="center"/>
    </x:xf>
    <x:xf numFmtId="202" fontId="0" fillId="40" borderId="4" xfId="0" applyNumberFormat="1" applyFont="1" applyFill="1" applyBorder="1" applyAlignment="1">
      <x:alignment vertical="center"/>
    </x:xf>
    <x:xf numFmtId="0" fontId="2" fillId="42" borderId="15" xfId="0" applyNumberFormat="1" applyFont="1" applyFill="1" applyBorder="1" applyAlignment="1">
      <x:alignment vertical="center"/>
    </x:xf>
    <x:xf numFmtId="201" fontId="2" fillId="42" borderId="15" xfId="0" applyNumberFormat="1" applyFont="1" applyFill="1" applyBorder="1" applyAlignment="1">
      <x:alignment vertical="center"/>
    </x:xf>
    <x:xf numFmtId="203" fontId="2" fillId="42" borderId="15" xfId="0" applyNumberFormat="1" applyFont="1" applyFill="1" applyBorder="1" applyAlignment="1">
      <x:alignment vertical="center"/>
    </x:xf>
    <x:xf numFmtId="202" fontId="2" fillId="42" borderId="15" xfId="0" applyNumberFormat="1" applyFont="1" applyFill="1" applyBorder="1" applyAlignment="1">
      <x:alignment vertical="center"/>
    </x:xf>
    <x:xf numFmtId="0" fontId="0" fillId="41" borderId="4" xfId="0" applyNumberFormat="1" applyFont="1" applyFill="1" applyBorder="1" applyAlignment="1">
      <x:alignment vertical="center"/>
    </x:xf>
    <x:xf numFmtId="201" fontId="0" fillId="41" borderId="4" xfId="0" applyNumberFormat="1" applyFont="1" applyFill="1" applyBorder="1" applyAlignment="1">
      <x:alignment vertical="center"/>
    </x:xf>
    <x:xf numFmtId="203" fontId="0" fillId="41" borderId="4" xfId="0" applyNumberFormat="1" applyFont="1" applyFill="1" applyBorder="1" applyAlignment="1">
      <x:alignment vertical="center"/>
    </x:xf>
    <x:xf numFmtId="202" fontId="0" fillId="41" borderId="4" xfId="0" applyNumberFormat="1" applyFont="1" applyFill="1" applyBorder="1" applyAlignment="1">
      <x:alignment vertical="center"/>
    </x:xf>
    <x:xf numFmtId="0" fontId="2" fillId="43" borderId="16" xfId="0" applyNumberFormat="1" applyFont="1" applyFill="1" applyBorder="1" applyAlignment="1">
      <x:alignment vertical="center"/>
    </x:xf>
    <x:xf numFmtId="201" fontId="2" fillId="43" borderId="16" xfId="0" applyNumberFormat="1" applyFont="1" applyFill="1" applyBorder="1" applyAlignment="1">
      <x:alignment vertical="center"/>
    </x:xf>
    <x:xf numFmtId="203" fontId="2" fillId="43" borderId="16" xfId="0" applyNumberFormat="1" applyFont="1" applyFill="1" applyBorder="1" applyAlignment="1">
      <x:alignment vertical="center"/>
    </x:xf>
    <x:xf numFmtId="202" fontId="2" fillId="43" borderId="16" xfId="0" applyNumberFormat="1" applyFont="1" applyFill="1" applyBorder="1" applyAlignment="1">
      <x:alignment vertical="center"/>
    </x:xf>
    <x:xf numFmtId="0" fontId="2" fillId="44" borderId="14" xfId="0" applyNumberFormat="1" applyFont="1" applyFill="1" applyBorder="1" applyAlignment="1">
      <x:alignment vertical="center"/>
    </x:xf>
    <x:xf numFmtId="202" fontId="2" fillId="44" borderId="14" xfId="0" applyNumberFormat="1" applyFont="1" applyFill="1" applyBorder="1" applyAlignment="1">
      <x:alignment vertical="center"/>
    </x:xf>
    <x:xf numFmtId="0" fontId="9" fillId="45" borderId="14" xfId="0" applyNumberFormat="1" applyFont="1" applyFill="1" applyBorder="1" applyAlignment="1">
      <x:alignment vertical="center"/>
    </x:xf>
    <x:xf numFmtId="202" fontId="9" fillId="45" borderId="1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33443e6b243f4" /><Relationship Type="http://schemas.openxmlformats.org/officeDocument/2006/relationships/theme" Target="/xl/theme/theme1.xml" Id="R1ab9237e9baa486e" /><Relationship Type="http://schemas.openxmlformats.org/officeDocument/2006/relationships/sharedStrings" Target="/xl/sharedStrings.xml" Id="R3385f7110e984481" /><Relationship Type="http://schemas.openxmlformats.org/officeDocument/2006/relationships/worksheet" Target="/xl/worksheets/sheet1.xml" Id="Rfd663e3c55494e01" /><Relationship Type="http://schemas.openxmlformats.org/officeDocument/2006/relationships/worksheet" Target="/xl/worksheets/sheet2.xml" Id="R80225c37a39a4628" /><Relationship Type="http://schemas.openxmlformats.org/officeDocument/2006/relationships/worksheet" Target="/xl/worksheets/sheet3.xml" Id="Rd2d88918328748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</x:cols>
  <x:sheetData>
    <x:row r="1">
      <x:c r="A1" s="193" t="str">
        <x:v>Юля, фасады, выборка 90 градусов — общий итог</x:v>
      </x:c>
      <x:c r="B1" s="193"/>
      <x:c r="C1" s="193"/>
      <x:c r="D1" s="193"/>
      <x:c r="E1" s="194"/>
      <x:c r="F1" s="194"/>
      <x:c r="G1" s="194"/>
    </x:row>
    <x:row r="2">
      <x:c r="A2" s="194"/>
      <x:c r="B2" s="194"/>
      <x:c r="C2" s="194"/>
      <x:c r="D2" s="194"/>
      <x:c r="E2" s="194"/>
      <x:c r="F2" s="194"/>
      <x:c r="G2" s="194"/>
    </x:row>
    <x:row r="3">
      <x:c r="A3" s="52" t="str">
        <x:v>Цвет</x:v>
      </x:c>
      <x:c r="B3" s="52" t="str">
        <x:v>Размерных строк</x:v>
      </x:c>
      <x:c r="C3" s="52" t="str">
        <x:v>Деталей</x:v>
      </x:c>
      <x:c r="D3" s="52" t="str">
        <x:v>Площадь, м²</x:v>
      </x:c>
      <x:c r="E3" s="194"/>
      <x:c r="F3" s="194"/>
      <x:c r="G3" s="194"/>
    </x:row>
    <x:row r="4">
      <x:c r="A4" s="53" t="str">
        <x:v>NCS S 6010-R90B</x:v>
      </x:c>
      <x:c r="B4" s="58" t="n">
        <x:v>22</x:v>
      </x:c>
      <x:c r="C4" s="58" t="n">
        <x:f>'6010-R90B'!B5</x:f>
        <x:v>35</x:v>
      </x:c>
      <x:c r="D4" s="66" t="n">
        <x:f>'6010-R90B'!B6</x:f>
        <x:v>11.903932</x:v>
      </x:c>
      <x:c r="E4" s="194"/>
      <x:c r="F4" s="194"/>
      <x:c r="G4" s="194"/>
    </x:row>
    <x:row r="5">
      <x:c r="A5" s="53" t="str">
        <x:v>NCS S 1000-N</x:v>
      </x:c>
      <x:c r="B5" s="58" t="n">
        <x:v>11</x:v>
      </x:c>
      <x:c r="C5" s="58" t="n">
        <x:f>'1000-N'!B5</x:f>
        <x:v>21</x:v>
      </x:c>
      <x:c r="D5" s="66" t="n">
        <x:f>'1000-N'!B6</x:f>
        <x:v>5.774914</x:v>
      </x:c>
      <x:c r="E5" s="194"/>
      <x:c r="F5" s="194"/>
      <x:c r="G5" s="194"/>
    </x:row>
    <x:row r="6">
      <x:c r="A6" s="57" t="str">
        <x:v>Весь заказ</x:v>
      </x:c>
      <x:c r="B6" s="59" t="n">
        <x:v>33</x:v>
      </x:c>
      <x:c r="C6" s="59" t="n">
        <x:f>SUM(C4:C5)</x:f>
        <x:v>56</x:v>
      </x:c>
      <x:c r="D6" s="67" t="n">
        <x:f>SUM(D4:D5)</x:f>
        <x:v>17.678846</x:v>
      </x:c>
      <x:c r="E6" s="194"/>
      <x:c r="F6" s="194"/>
      <x:c r="G6" s="194"/>
    </x:row>
    <x:row r="7">
      <x:c r="A7" s="194"/>
      <x:c r="B7" s="60"/>
      <x:c r="C7" s="60"/>
      <x:c r="D7" s="68"/>
      <x:c r="E7" s="194"/>
      <x:c r="F7" s="194"/>
      <x:c r="G7" s="194"/>
    </x:row>
    <x:row r="8">
      <x:c r="A8" s="193" t="str">
        <x:v>Итог по типу деталей</x:v>
      </x:c>
      <x:c r="B8" s="195"/>
      <x:c r="C8" s="195"/>
      <x:c r="D8" s="196"/>
      <x:c r="E8" s="194"/>
      <x:c r="F8" s="194"/>
      <x:c r="G8" s="194"/>
    </x:row>
    <x:row r="9">
      <x:c r="A9" s="52" t="str">
        <x:v>Тип</x:v>
      </x:c>
      <x:c r="B9" s="62" t="str">
        <x:v>Размерных строк</x:v>
      </x:c>
      <x:c r="C9" s="62" t="str">
        <x:v>Деталей</x:v>
      </x:c>
      <x:c r="D9" s="70" t="str">
        <x:v>Площадь, м²</x:v>
      </x:c>
      <x:c r="E9" s="194"/>
      <x:c r="F9" s="194"/>
      <x:c r="G9" s="194"/>
    </x:row>
    <x:row r="10">
      <x:c r="A10" s="54" t="str">
        <x:v>Фрезерованная выборка</x:v>
      </x:c>
      <x:c r="B10" s="63" t="n">
        <x:f>COUNTIF('6010-R90B'!B9:B30,"Выборка")+COUNTIF('1000-N'!B9:B19,"Выборка")</x:f>
        <x:v>15</x:v>
      </x:c>
      <x:c r="C10" s="63" t="n">
        <x:f>SUMIF('6010-R90B'!B9:B30,"Выборка",'6010-R90B'!F9:F30)+SUMIF('1000-N'!B9:B19,"Выборка",'1000-N'!F9:F19)</x:f>
        <x:v>32</x:v>
      </x:c>
      <x:c r="D10" s="71" t="n">
        <x:f>SUMIF('6010-R90B'!B9:B30,"Выборка",'6010-R90B'!H9:H30)+SUMIF('1000-N'!B9:B19,"Выборка",'1000-N'!H9:H19)</x:f>
        <x:v>10.262790000000003</x:v>
      </x:c>
      <x:c r="E10" s="194"/>
      <x:c r="F10" s="194"/>
      <x:c r="G10" s="194"/>
    </x:row>
    <x:row r="11">
      <x:c r="A11" s="55" t="str">
        <x:v>Модерн</x:v>
      </x:c>
      <x:c r="B11" s="64" t="n">
        <x:f>COUNTIF('6010-R90B'!B9:B30,"Модерн")+COUNTIF('1000-N'!B9:B19,"Модерн")</x:f>
        <x:v>16</x:v>
      </x:c>
      <x:c r="C11" s="64" t="n">
        <x:f>SUMIF('6010-R90B'!B9:B30,"Модерн",'6010-R90B'!F9:F30)+SUMIF('1000-N'!B9:B19,"Модерн",'1000-N'!F9:F19)</x:f>
        <x:v>18</x:v>
      </x:c>
      <x:c r="D11" s="72" t="n">
        <x:f>SUMIF('6010-R90B'!B9:B30,"Модерн",'6010-R90B'!H9:H30)+SUMIF('1000-N'!B9:B19,"Модерн",'1000-N'!H9:H19)</x:f>
        <x:v>4.239812000000001</x:v>
      </x:c>
      <x:c r="E11" s="194"/>
      <x:c r="F11" s="194"/>
      <x:c r="G11" s="194"/>
    </x:row>
    <x:row r="12">
      <x:c r="A12" s="56" t="str">
        <x:v>Витрина</x:v>
      </x:c>
      <x:c r="B12" s="65" t="n">
        <x:f>COUNTIF('6010-R90B'!B9:B30,"Витрина")+COUNTIF('1000-N'!B9:B19,"Витрина")</x:f>
        <x:v>2</x:v>
      </x:c>
      <x:c r="C12" s="65" t="n">
        <x:f>SUMIF('6010-R90B'!B9:B30,"Витрина",'6010-R90B'!F9:F30)+SUMIF('1000-N'!B9:B19,"Витрина",'1000-N'!F9:F19)</x:f>
        <x:v>6</x:v>
      </x:c>
      <x:c r="D12" s="73" t="n">
        <x:f>SUMIF('6010-R90B'!B9:B30,"Витрина",'6010-R90B'!H9:H30)+SUMIF('1000-N'!B9:B19,"Витрина",'1000-N'!H9:H19)</x:f>
        <x:v>3.176244</x:v>
      </x:c>
      <x:c r="E12" s="194"/>
      <x:c r="F12" s="194"/>
      <x:c r="G12" s="194"/>
    </x:row>
    <x:row r="13">
      <x:c r="A13" s="57" t="str">
        <x:v>Весь заказ</x:v>
      </x:c>
      <x:c r="B13" s="59" t="n">
        <x:f>SUM(B10:B12)</x:f>
        <x:v>33</x:v>
      </x:c>
      <x:c r="C13" s="59" t="n">
        <x:f>SUM(C10:C12)</x:f>
        <x:v>56</x:v>
      </x:c>
      <x:c r="D13" s="67" t="n">
        <x:f>SUM(D10:D12)</x:f>
        <x:v>17.678846000000004</x:v>
      </x:c>
      <x:c r="E13" s="194"/>
      <x:c r="F13" s="194"/>
      <x:c r="G13" s="194"/>
    </x:row>
    <x:row r="14">
      <x:c r="A14" s="194"/>
      <x:c r="B14" s="194"/>
      <x:c r="C14" s="194"/>
      <x:c r="D14" s="194"/>
      <x:c r="E14" s="194"/>
      <x:c r="F14" s="194"/>
      <x:c r="G14" s="194"/>
    </x:row>
    <x:row r="15">
      <x:c r="A15" s="193" t="str">
        <x:v>СТОИМОСТЬ РАБОТ</x:v>
      </x:c>
      <x:c r="B15" s="193"/>
      <x:c r="C15" s="193"/>
      <x:c r="D15" s="193"/>
      <x:c r="E15" s="193"/>
      <x:c r="F15" s="194"/>
      <x:c r="G15" s="194"/>
    </x:row>
    <x:row r="16">
      <x:c r="A16" s="52" t="str">
        <x:v>Тип</x:v>
      </x:c>
      <x:c r="B16" s="52" t="str">
        <x:v>Площадь, м²</x:v>
      </x:c>
      <x:c r="C16" s="52" t="str">
        <x:v>Ставка, ₸/м²</x:v>
      </x:c>
      <x:c r="D16" s="52" t="str">
        <x:v>Сумма, ₸</x:v>
      </x:c>
      <x:c r="E16" s="52" t="str">
        <x:v>Статус</x:v>
      </x:c>
      <x:c r="F16" s="194"/>
      <x:c r="G16" s="194"/>
    </x:row>
    <x:row r="17">
      <x:c r="A17" s="54" t="str">
        <x:v>Выборка 90°</x:v>
      </x:c>
      <x:c r="B17" s="71" t="n">
        <x:f>D10</x:f>
        <x:v>10.262790000000003</x:v>
      </x:c>
      <x:c r="C17" s="121" t="n">
        <x:v>33000</x:v>
      </x:c>
      <x:c r="D17" s="121" t="n">
        <x:f>B17*C17</x:f>
        <x:v>338672.07000000007</x:v>
      </x:c>
      <x:c r="E17" s="54" t="str">
        <x:v>Рассчитано</x:v>
      </x:c>
      <x:c r="F17" s="194"/>
      <x:c r="G17" s="194"/>
    </x:row>
    <x:row r="18">
      <x:c r="A18" s="55" t="str">
        <x:v>Модерн</x:v>
      </x:c>
      <x:c r="B18" s="72" t="n">
        <x:f>D11</x:f>
        <x:v>4.239812000000001</x:v>
      </x:c>
      <x:c r="C18" s="122" t="n">
        <x:v>26000</x:v>
      </x:c>
      <x:c r="D18" s="122" t="n">
        <x:f>B18*C18</x:f>
        <x:v>110235.11200000001</x:v>
      </x:c>
      <x:c r="E18" s="55" t="str">
        <x:v>Рассчитано</x:v>
      </x:c>
      <x:c r="F18" s="194"/>
      <x:c r="G18" s="194"/>
    </x:row>
    <x:row r="19">
      <x:c r="A19" s="56" t="str">
        <x:v>Витрина</x:v>
      </x:c>
      <x:c r="B19" s="73" t="n">
        <x:f>D12</x:f>
        <x:v>3.176244</x:v>
      </x:c>
      <x:c r="C19" s="123" t="n">
        <x:v>35000</x:v>
      </x:c>
      <x:c r="D19" s="123" t="n">
        <x:f>B19*C19</x:f>
        <x:v>111168.54000000001</x:v>
      </x:c>
      <x:c r="E19" s="56" t="str">
        <x:v>Рассчитано</x:v>
      </x:c>
      <x:c r="F19" s="194"/>
      <x:c r="G19" s="194"/>
    </x:row>
    <x:row r="20">
      <x:c r="A20" s="57" t="str">
        <x:v>Итого по заданным ставкам</x:v>
      </x:c>
      <x:c r="B20" s="57"/>
      <x:c r="C20" s="124"/>
      <x:c r="D20" s="124" t="n">
        <x:f>SUM(D17:D19)</x:f>
        <x:v>560075.7220000001</x:v>
      </x:c>
      <x:c r="E20" s="57" t="str">
        <x:v>Все типы включены</x:v>
      </x:c>
      <x:c r="F20" s="194"/>
      <x:c r="G20" s="194"/>
    </x:row>
    <x:row r="21">
      <x:c r="A21" s="119" t="str">
        <x:v>Полная стоимость заказа</x:v>
      </x:c>
      <x:c r="B21" s="119"/>
      <x:c r="C21" s="120"/>
      <x:c r="D21" s="120" t="n">
        <x:f>SUM(D17:D19)</x:f>
        <x:v>560075.7220000001</x:v>
      </x:c>
      <x:c r="E21" s="119" t="str">
        <x:v>Рассчитано</x:v>
      </x:c>
      <x:c r="F21" s="194"/>
      <x:c r="G21" s="194"/>
    </x:row>
    <x:row r="22">
      <x:c r="A22" s="194"/>
      <x:c r="B22" s="194"/>
      <x:c r="C22" s="194"/>
      <x:c r="D22" s="194"/>
      <x:c r="E22" s="194"/>
      <x:c r="F22" s="194"/>
      <x:c r="G22" s="194"/>
    </x:row>
    <x:row r="23" ht="26" customHeight="1">
      <x:c r="A23" s="261" t="str">
        <x:v>РАСХОД И СТОИМОСТЬ ГРУНТА И КРАСКИ</x:v>
      </x:c>
      <x:c r="B23" s="261"/>
      <x:c r="C23" s="261"/>
      <x:c r="D23" s="261"/>
      <x:c r="E23" s="261"/>
      <x:c r="F23" s="261"/>
      <x:c r="G23" s="261"/>
    </x:row>
    <x:row r="24" ht="22" customHeight="1">
      <x:c r="A24" s="300" t="str">
        <x:v>Материал</x:v>
      </x:c>
      <x:c r="B24" s="300" t="str">
        <x:v>Тип деталей</x:v>
      </x:c>
      <x:c r="C24" s="300" t="str">
        <x:v>Площадь, м²</x:v>
      </x:c>
      <x:c r="D24" s="300" t="str">
        <x:v>Норма, кг/м²</x:v>
      </x:c>
      <x:c r="E24" s="300" t="str">
        <x:v>Расход, кг</x:v>
      </x:c>
      <x:c r="F24" s="300" t="str">
        <x:v>Цена, ₸/кг</x:v>
      </x:c>
      <x:c r="G24" s="300" t="str">
        <x:v>Стоимость, ₸</x:v>
      </x:c>
    </x:row>
    <x:row r="25" ht="22" customHeight="1">
      <x:c r="A25" s="301" t="str">
        <x:v>Краска</x:v>
      </x:c>
      <x:c r="B25" s="301" t="str">
        <x:v>Модерн</x:v>
      </x:c>
      <x:c r="C25" s="302" t="n">
        <x:f>D11</x:f>
        <x:v>4.239812000000001</x:v>
      </x:c>
      <x:c r="D25" s="303" t="n">
        <x:v>0.3</x:v>
      </x:c>
      <x:c r="E25" s="303" t="n">
        <x:f>C25*D25</x:f>
        <x:v>1.2719436000000002</x:v>
      </x:c>
      <x:c r="F25" s="304" t="n">
        <x:v>12000</x:v>
      </x:c>
      <x:c r="G25" s="304" t="n">
        <x:f>E25*F25</x:f>
        <x:v>15263.323200000003</x:v>
      </x:c>
    </x:row>
    <x:row r="26" ht="22" customHeight="1">
      <x:c r="A26" s="301" t="str">
        <x:v>Краска</x:v>
      </x:c>
      <x:c r="B26" s="301" t="str">
        <x:v>Выборка 90°</x:v>
      </x:c>
      <x:c r="C26" s="302" t="n">
        <x:f>D10</x:f>
        <x:v>10.262790000000003</x:v>
      </x:c>
      <x:c r="D26" s="303" t="n">
        <x:v>0.3</x:v>
      </x:c>
      <x:c r="E26" s="303" t="n">
        <x:f>C26*D26</x:f>
        <x:v>3.0788370000000005</x:v>
      </x:c>
      <x:c r="F26" s="304" t="n">
        <x:v>12000</x:v>
      </x:c>
      <x:c r="G26" s="304" t="n">
        <x:f>E26*F26</x:f>
        <x:v>36946.04400000001</x:v>
      </x:c>
    </x:row>
    <x:row r="27" ht="22" customHeight="1">
      <x:c r="A27" s="301" t="str">
        <x:v>Краска</x:v>
      </x:c>
      <x:c r="B27" s="301" t="str">
        <x:v>Витрина</x:v>
      </x:c>
      <x:c r="C27" s="302" t="n">
        <x:f>D12</x:f>
        <x:v>3.176244</x:v>
      </x:c>
      <x:c r="D27" s="303" t="n">
        <x:v>0.3</x:v>
      </x:c>
      <x:c r="E27" s="303" t="n">
        <x:f>C27*D27</x:f>
        <x:v>0.9528732</x:v>
      </x:c>
      <x:c r="F27" s="304" t="n">
        <x:v>12000</x:v>
      </x:c>
      <x:c r="G27" s="304" t="n">
        <x:f>E27*F27</x:f>
        <x:v>11434.4784</x:v>
      </x:c>
    </x:row>
    <x:row r="28" ht="22" customHeight="1">
      <x:c r="A28" s="305" t="str">
        <x:v>Краска — итого</x:v>
      </x:c>
      <x:c r="B28" s="305"/>
      <x:c r="C28" s="306" t="n">
        <x:f>SUM(C25:C27)</x:f>
        <x:v>17.678846000000004</x:v>
      </x:c>
      <x:c r="D28" s="307"/>
      <x:c r="E28" s="307" t="n">
        <x:f>SUM(E25:E27)</x:f>
        <x:v>5.3036538</x:v>
      </x:c>
      <x:c r="F28" s="308"/>
      <x:c r="G28" s="308" t="n">
        <x:f>SUM(G25:G27)</x:f>
        <x:v>63643.84560000001</x:v>
      </x:c>
    </x:row>
    <x:row r="29" ht="22" customHeight="1">
      <x:c r="A29" s="177"/>
      <x:c r="B29" s="177"/>
      <x:c r="C29" s="178"/>
      <x:c r="D29" s="179"/>
      <x:c r="E29" s="179"/>
      <x:c r="F29" s="180"/>
      <x:c r="G29" s="180"/>
    </x:row>
    <x:row r="30" ht="22" customHeight="1">
      <x:c r="A30" s="309" t="str">
        <x:v>Грунт</x:v>
      </x:c>
      <x:c r="B30" s="309" t="str">
        <x:v>Модерн</x:v>
      </x:c>
      <x:c r="C30" s="310" t="n">
        <x:f>D11</x:f>
        <x:v>4.239812000000001</x:v>
      </x:c>
      <x:c r="D30" s="311" t="n">
        <x:v>0.3</x:v>
      </x:c>
      <x:c r="E30" s="311" t="n">
        <x:f>C30*D30</x:f>
        <x:v>1.2719436000000002</x:v>
      </x:c>
      <x:c r="F30" s="312" t="n">
        <x:v>5000</x:v>
      </x:c>
      <x:c r="G30" s="312" t="n">
        <x:f>E30*F30</x:f>
        <x:v>6359.718000000001</x:v>
      </x:c>
    </x:row>
    <x:row r="31" ht="22" customHeight="1">
      <x:c r="A31" s="309" t="str">
        <x:v>Грунт</x:v>
      </x:c>
      <x:c r="B31" s="309" t="str">
        <x:v>Выборка 90°</x:v>
      </x:c>
      <x:c r="C31" s="310" t="n">
        <x:f>D10</x:f>
        <x:v>10.262790000000003</x:v>
      </x:c>
      <x:c r="D31" s="311" t="n">
        <x:v>0.6</x:v>
      </x:c>
      <x:c r="E31" s="311" t="n">
        <x:f>C31*D31</x:f>
        <x:v>6.157674000000001</x:v>
      </x:c>
      <x:c r="F31" s="312" t="n">
        <x:v>5000</x:v>
      </x:c>
      <x:c r="G31" s="312" t="n">
        <x:f>E31*F31</x:f>
        <x:v>30788.370000000006</x:v>
      </x:c>
    </x:row>
    <x:row r="32" ht="22" customHeight="1">
      <x:c r="A32" s="309" t="str">
        <x:v>Грунт</x:v>
      </x:c>
      <x:c r="B32" s="309" t="str">
        <x:v>Витрина</x:v>
      </x:c>
      <x:c r="C32" s="310" t="n">
        <x:f>D12</x:f>
        <x:v>3.176244</x:v>
      </x:c>
      <x:c r="D32" s="311" t="n">
        <x:v>0.6</x:v>
      </x:c>
      <x:c r="E32" s="311" t="n">
        <x:f>C32*D32</x:f>
        <x:v>1.9057464</x:v>
      </x:c>
      <x:c r="F32" s="312" t="n">
        <x:v>5000</x:v>
      </x:c>
      <x:c r="G32" s="312" t="n">
        <x:f>E32*F32</x:f>
        <x:v>9528.732</x:v>
      </x:c>
    </x:row>
    <x:row r="33" ht="22" customHeight="1">
      <x:c r="A33" s="313" t="str">
        <x:v>Грунт — итого</x:v>
      </x:c>
      <x:c r="B33" s="313"/>
      <x:c r="C33" s="314" t="n">
        <x:f>SUM(C30:C32)</x:f>
        <x:v>17.678846000000004</x:v>
      </x:c>
      <x:c r="D33" s="313"/>
      <x:c r="E33" s="315" t="n">
        <x:f>SUM(E30:E32)</x:f>
        <x:v>9.335364000000002</x:v>
      </x:c>
      <x:c r="F33" s="316"/>
      <x:c r="G33" s="316" t="n">
        <x:f>SUM(G30:G32)</x:f>
        <x:v>46676.82000000001</x:v>
      </x:c>
    </x:row>
    <x:row r="34" ht="22" customHeight="1">
      <x:c r="A34" s="177"/>
      <x:c r="B34" s="177"/>
      <x:c r="C34" s="177"/>
      <x:c r="D34" s="177"/>
      <x:c r="E34" s="177"/>
      <x:c r="F34" s="180"/>
      <x:c r="G34" s="180"/>
    </x:row>
    <x:row r="35" ht="22" customHeight="1">
      <x:c r="A35" s="317" t="str">
        <x:v>Стоимость ЛКМ</x:v>
      </x:c>
      <x:c r="B35" s="317"/>
      <x:c r="C35" s="317"/>
      <x:c r="D35" s="317"/>
      <x:c r="E35" s="317"/>
      <x:c r="F35" s="318"/>
      <x:c r="G35" s="318" t="n">
        <x:f>G28+G33</x:f>
        <x:v>110320.66560000001</x:v>
      </x:c>
    </x:row>
    <x:row r="36" ht="22" customHeight="1">
      <x:c r="A36" s="319" t="str">
        <x:v>Стоимость работ + ЛКМ</x:v>
      </x:c>
      <x:c r="B36" s="319"/>
      <x:c r="C36" s="319"/>
      <x:c r="D36" s="319"/>
      <x:c r="E36" s="319"/>
      <x:c r="F36" s="320"/>
      <x:c r="G36" s="320" t="n">
        <x:f>D21+G35</x:f>
        <x:v>670396.3876</x:v>
      </x:c>
    </x:row>
    <x:row r="37">
      <x:c r="A37" s="194"/>
      <x:c r="B37" s="194"/>
      <x:c r="C37" s="194"/>
      <x:c r="D37" s="194"/>
      <x:c r="E37" s="194"/>
      <x:c r="F37" s="194"/>
      <x:c r="G37" s="194"/>
    </x:row>
    <x:row r="38" ht="28" customHeight="1">
      <x:c r="A38" s="285" t="str">
        <x:v>Принято для расчёта: витрины считаются по норме грунта для выборки — 0,600 кг/м², так как в деталях есть выборка под стекло.</x:v>
      </x:c>
      <x:c r="B38" s="285"/>
      <x:c r="C38" s="285"/>
      <x:c r="D38" s="285"/>
      <x:c r="E38" s="285"/>
      <x:c r="F38" s="285"/>
      <x:c r="G38" s="285"/>
    </x:row>
    <x:row r="39" ht="28" customHeight="1">
      <x:c r="A39" s="285" t="str">
        <x:v>Источник норм: Реестр норм расхода Малярка — Google Drive</x:v>
      </x:c>
      <x:c r="B39" s="285"/>
      <x:c r="C39" s="285"/>
      <x:c r="D39" s="285"/>
      <x:c r="E39" s="285"/>
      <x:c r="F39" s="285"/>
      <x:c r="G39" s="285"/>
    </x:row>
    <x:row r="40" ht="28" customHeight="1">
      <x:c r="A40" s="285" t="str">
        <x:v>https://docs.google.com/document/d/1JNChytotc_FnYacu0NHB4F_AVJ1WfvIBxDKvOsq_2RQ</x:v>
      </x:c>
      <x:c r="B40" s="285"/>
      <x:c r="C40" s="285"/>
      <x:c r="D40" s="285"/>
      <x:c r="E40" s="285"/>
      <x:c r="F40" s="285"/>
      <x:c r="G40" s="285"/>
    </x:row>
  </x:sheetData>
  <x:mergeCells>
    <x:mergeCell ref="A8:D8"/>
    <x:mergeCell ref="A1:E1"/>
    <x:mergeCell ref="A15:E15"/>
    <x:mergeCell ref="A23:G23"/>
    <x:mergeCell ref="A38:G38"/>
    <x:mergeCell ref="A39:G39"/>
    <x:mergeCell ref="A40:G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  <x:col min="7" max="7" width="14" hidden="0" customWidth="1"/>
    <x:col min="8" max="8" width="14" hidden="0" customWidth="1"/>
    <x:col min="9" max="9" width="52" hidden="0" customWidth="1"/>
  </x:cols>
  <x:sheetData>
    <x:row r="1">
      <x:c r="A1" s="3" t="str">
        <x:v>Юля, фасады, выборка 90 градусов — NCS S 6010-R90B</x:v>
      </x:c>
      <x:c r="B1" s="3"/>
      <x:c r="C1" s="3"/>
      <x:c r="D1" s="3"/>
      <x:c r="E1" s="3"/>
      <x:c r="F1" s="3"/>
      <x:c r="G1" s="3"/>
      <x:c r="H1" s="3"/>
      <x:c r="I1" s="3"/>
    </x:row>
    <x:row r="2">
      <x:c r="D2" s="8" t="str">
        <x:v>ВЕСЬ ЗАКАЗ</x:v>
      </x:c>
      <x:c r="E2" s="8"/>
      <x:c r="F2" s="8"/>
      <x:c r="G2" s="8"/>
      <x:c r="H2" s="8"/>
    </x:row>
    <x:row r="3">
      <x:c r="A3" s="4" t="str">
        <x:v>Материал</x:v>
      </x:c>
      <x:c r="B3" s="4" t="str">
        <x:v>МДФ 16 мм</x:v>
      </x:c>
      <x:c r="D3" s="11" t="str">
        <x:v>Общее количество деталей</x:v>
      </x:c>
      <x:c r="E3" s="10"/>
      <x:c r="F3" s="10"/>
      <x:c r="G3" s="10"/>
      <x:c r="H3" s="16" t="n">
        <x:f>'Общий итог'!C6</x:f>
        <x:v>56</x:v>
      </x:c>
    </x:row>
    <x:row r="4">
      <x:c r="A4" s="4" t="str">
        <x:v>Расчёт</x:v>
      </x:c>
      <x:c r="B4" s="4" t="str">
        <x:v>Одна лицевая плоскость</x:v>
      </x:c>
      <x:c r="D4" s="11" t="str">
        <x:v>Общая квадратура, м²</x:v>
      </x:c>
      <x:c r="E4" s="10"/>
      <x:c r="F4" s="10"/>
      <x:c r="G4" s="10"/>
      <x:c r="H4" s="17" t="n">
        <x:f>'Общий итог'!D6</x:f>
        <x:v>17.678846</x:v>
      </x:c>
    </x:row>
    <x:row r="5">
      <x:c r="A5" s="6" t="str">
        <x:v>Количество деталей</x:v>
      </x:c>
      <x:c r="B5" s="6" t="n">
        <x:f>SUM(F9:F30)</x:f>
        <x:v>35</x:v>
      </x:c>
      <x:c r="D5" s="11" t="str">
        <x:v>Фрезерованная выборка, м²</x:v>
      </x:c>
      <x:c r="E5" s="10"/>
      <x:c r="F5" s="10"/>
      <x:c r="G5" s="10"/>
      <x:c r="H5" s="17" t="n">
        <x:f>'Общий итог'!D10</x:f>
        <x:v>10.262790000000003</x:v>
      </x:c>
    </x:row>
    <x:row r="6">
      <x:c r="A6" s="6" t="str">
        <x:v>Общая площадь, м²</x:v>
      </x:c>
      <x:c r="B6" s="6" t="n">
        <x:f>SUM(H9:H30)</x:f>
        <x:v>11.903932</x:v>
      </x:c>
      <x:c r="D6" s="11" t="str">
        <x:v>Модерн, м²</x:v>
      </x:c>
      <x:c r="E6" s="10"/>
      <x:c r="F6" s="10"/>
      <x:c r="G6" s="10"/>
      <x:c r="H6" s="17" t="n">
        <x:f>'Общий итог'!D11</x:f>
        <x:v>4.239812000000001</x:v>
      </x:c>
    </x:row>
    <x:row r="7">
      <x:c r="D7" s="11" t="str">
        <x:v>Витрина, м²</x:v>
      </x:c>
      <x:c r="E7" s="10"/>
      <x:c r="F7" s="10"/>
      <x:c r="G7" s="10"/>
      <x:c r="H7" s="17" t="n">
        <x:f>'Общий итог'!D12</x:f>
        <x:v>3.176244</x:v>
      </x:c>
    </x:row>
    <x:row r="8" ht="30" customHeight="1">
      <x:c r="A8" s="22" t="str">
        <x:v>№</x:v>
      </x:c>
      <x:c r="B8" s="22" t="str">
        <x:v>Тип</x:v>
      </x:c>
      <x:c r="C8" s="22" t="str">
        <x:v>Высота, мм</x:v>
      </x:c>
      <x:c r="D8" s="22" t="str">
        <x:v>Ширина, мм</x:v>
      </x:c>
      <x:c r="E8" s="22" t="str">
        <x:v>Толщина, мм</x:v>
      </x:c>
      <x:c r="F8" s="22" t="str">
        <x:v>Количество</x:v>
      </x:c>
      <x:c r="G8" s="22" t="str">
        <x:v>м² за 1 шт.</x:v>
      </x:c>
      <x:c r="H8" s="22" t="str">
        <x:v>Всего, м²</x:v>
      </x:c>
      <x:c r="I8" s="22" t="str">
        <x:v>Примечание</x:v>
      </x:c>
    </x:row>
    <x:row r="9" ht="30" customHeight="1">
      <x:c r="A9" s="35" t="n">
        <x:v>1</x:v>
      </x:c>
      <x:c r="B9" s="35" t="str">
        <x:v>Выборка</x:v>
      </x:c>
      <x:c r="C9" s="36" t="n">
        <x:v>608</x:v>
      </x:c>
      <x:c r="D9" s="36" t="n">
        <x:v>598</x:v>
      </x:c>
      <x:c r="E9" s="36" t="n">
        <x:v>16</x:v>
      </x:c>
      <x:c r="F9" s="36" t="n">
        <x:v>4</x:v>
      </x:c>
      <x:c r="G9" s="37" t="n">
        <x:f>C9*D9/1000000</x:f>
        <x:v>0.363584</x:v>
      </x:c>
      <x:c r="H9" s="37" t="n">
        <x:f>G9*F9</x:f>
        <x:v>1.454336</x:v>
      </x:c>
      <x:c r="I9" s="44" t="str"/>
    </x:row>
    <x:row r="10" ht="30" customHeight="1">
      <x:c r="A10" s="35" t="n">
        <x:v>2</x:v>
      </x:c>
      <x:c r="B10" s="35" t="str">
        <x:v>Выборка</x:v>
      </x:c>
      <x:c r="C10" s="36" t="n">
        <x:v>442</x:v>
      </x:c>
      <x:c r="D10" s="36" t="n">
        <x:v>598</x:v>
      </x:c>
      <x:c r="E10" s="36" t="n">
        <x:v>16</x:v>
      </x:c>
      <x:c r="F10" s="36" t="n">
        <x:v>1</x:v>
      </x:c>
      <x:c r="G10" s="37" t="n">
        <x:f>C10*D10/1000000</x:f>
        <x:v>0.264316</x:v>
      </x:c>
      <x:c r="H10" s="37" t="n">
        <x:f>G10*F10</x:f>
        <x:v>0.264316</x:v>
      </x:c>
      <x:c r="I10" s="44" t="str"/>
    </x:row>
    <x:row r="11" ht="30" customHeight="1">
      <x:c r="A11" s="35" t="n">
        <x:v>3</x:v>
      </x:c>
      <x:c r="B11" s="35" t="str">
        <x:v>Выборка</x:v>
      </x:c>
      <x:c r="C11" s="36" t="n">
        <x:v>358</x:v>
      </x:c>
      <x:c r="D11" s="36" t="n">
        <x:v>598</x:v>
      </x:c>
      <x:c r="E11" s="36" t="n">
        <x:v>16</x:v>
      </x:c>
      <x:c r="F11" s="36" t="n">
        <x:v>1</x:v>
      </x:c>
      <x:c r="G11" s="37" t="n">
        <x:f>C11*D11/1000000</x:f>
        <x:v>0.214084</x:v>
      </x:c>
      <x:c r="H11" s="37" t="n">
        <x:f>G11*F11</x:f>
        <x:v>0.214084</x:v>
      </x:c>
      <x:c r="I11" s="44" t="str"/>
    </x:row>
    <x:row r="12" ht="30" customHeight="1">
      <x:c r="A12" s="35" t="n">
        <x:v>4</x:v>
      </x:c>
      <x:c r="B12" s="35" t="str">
        <x:v>Выборка</x:v>
      </x:c>
      <x:c r="C12" s="36" t="n">
        <x:v>718</x:v>
      </x:c>
      <x:c r="D12" s="36" t="n">
        <x:v>598</x:v>
      </x:c>
      <x:c r="E12" s="36" t="n">
        <x:v>16</x:v>
      </x:c>
      <x:c r="F12" s="36" t="n">
        <x:v>2</x:v>
      </x:c>
      <x:c r="G12" s="37" t="n">
        <x:f>C12*D12/1000000</x:f>
        <x:v>0.429364</x:v>
      </x:c>
      <x:c r="H12" s="37" t="n">
        <x:f>G12*F12</x:f>
        <x:v>0.858728</x:v>
      </x:c>
      <x:c r="I12" s="44" t="str"/>
    </x:row>
    <x:row r="13" ht="30" customHeight="1">
      <x:c r="A13" s="35" t="n">
        <x:v>5</x:v>
      </x:c>
      <x:c r="B13" s="35" t="str">
        <x:v>Выборка</x:v>
      </x:c>
      <x:c r="C13" s="36" t="n">
        <x:v>1068</x:v>
      </x:c>
      <x:c r="D13" s="36" t="n">
        <x:v>598</x:v>
      </x:c>
      <x:c r="E13" s="36" t="n">
        <x:v>16</x:v>
      </x:c>
      <x:c r="F13" s="36" t="n">
        <x:v>2</x:v>
      </x:c>
      <x:c r="G13" s="37" t="n">
        <x:f>C13*D13/1000000</x:f>
        <x:v>0.638664</x:v>
      </x:c>
      <x:c r="H13" s="37" t="n">
        <x:f>G13*F13</x:f>
        <x:v>1.277328</x:v>
      </x:c>
      <x:c r="I13" s="44" t="str"/>
    </x:row>
    <x:row r="14" ht="30" customHeight="1">
      <x:c r="A14" s="35" t="n">
        <x:v>6</x:v>
      </x:c>
      <x:c r="B14" s="35" t="str">
        <x:v>Выборка</x:v>
      </x:c>
      <x:c r="C14" s="36" t="n">
        <x:v>1028</x:v>
      </x:c>
      <x:c r="D14" s="36" t="n">
        <x:v>598</x:v>
      </x:c>
      <x:c r="E14" s="36" t="n">
        <x:v>16</x:v>
      </x:c>
      <x:c r="F14" s="36" t="n">
        <x:v>1</x:v>
      </x:c>
      <x:c r="G14" s="37" t="n">
        <x:f>C14*D14/1000000</x:f>
        <x:v>0.614744</x:v>
      </x:c>
      <x:c r="H14" s="37" t="n">
        <x:f>G14*F14</x:f>
        <x:v>0.614744</x:v>
      </x:c>
      <x:c r="I14" s="44" t="str"/>
    </x:row>
    <x:row r="15" ht="30" customHeight="1">
      <x:c r="A15" s="35" t="n">
        <x:v>7</x:v>
      </x:c>
      <x:c r="B15" s="35" t="str">
        <x:v>Выборка</x:v>
      </x:c>
      <x:c r="C15" s="36" t="n">
        <x:v>718</x:v>
      </x:c>
      <x:c r="D15" s="36" t="n">
        <x:v>198</x:v>
      </x:c>
      <x:c r="E15" s="36" t="n">
        <x:v>16</x:v>
      </x:c>
      <x:c r="F15" s="36" t="n">
        <x:v>2</x:v>
      </x:c>
      <x:c r="G15" s="37" t="n">
        <x:f>C15*D15/1000000</x:f>
        <x:v>0.142164</x:v>
      </x:c>
      <x:c r="H15" s="37" t="n">
        <x:f>G15*F15</x:f>
        <x:v>0.284328</x:v>
      </x:c>
      <x:c r="I15" s="44" t="str"/>
    </x:row>
    <x:row r="16" ht="30" customHeight="1">
      <x:c r="A16" s="35" t="n">
        <x:v>8</x:v>
      </x:c>
      <x:c r="B16" s="35" t="str">
        <x:v>Выборка</x:v>
      </x:c>
      <x:c r="C16" s="36" t="n">
        <x:v>358</x:v>
      </x:c>
      <x:c r="D16" s="36" t="n">
        <x:v>858</x:v>
      </x:c>
      <x:c r="E16" s="36" t="n">
        <x:v>16</x:v>
      </x:c>
      <x:c r="F16" s="36" t="n">
        <x:v>1</x:v>
      </x:c>
      <x:c r="G16" s="37" t="n">
        <x:f>C16*D16/1000000</x:f>
        <x:v>0.307164</x:v>
      </x:c>
      <x:c r="H16" s="37" t="n">
        <x:f>G16*F16</x:f>
        <x:v>0.307164</x:v>
      </x:c>
      <x:c r="I16" s="44" t="str"/>
    </x:row>
    <x:row r="17" ht="30" customHeight="1">
      <x:c r="A17" s="35" t="n">
        <x:v>9</x:v>
      </x:c>
      <x:c r="B17" s="35" t="str">
        <x:v>Выборка</x:v>
      </x:c>
      <x:c r="C17" s="36" t="n">
        <x:v>178</x:v>
      </x:c>
      <x:c r="D17" s="36" t="n">
        <x:v>858</x:v>
      </x:c>
      <x:c r="E17" s="36" t="n">
        <x:v>16</x:v>
      </x:c>
      <x:c r="F17" s="36" t="n">
        <x:v>2</x:v>
      </x:c>
      <x:c r="G17" s="37" t="n">
        <x:f>C17*D17/1000000</x:f>
        <x:v>0.152724</x:v>
      </x:c>
      <x:c r="H17" s="37" t="n">
        <x:f>G17*F17</x:f>
        <x:v>0.305448</x:v>
      </x:c>
      <x:c r="I17" s="44" t="str"/>
    </x:row>
    <x:row r="18" ht="30" customHeight="1">
      <x:c r="A18" s="38" t="n">
        <x:v>10</x:v>
      </x:c>
      <x:c r="B18" s="38" t="str">
        <x:v>Модерн</x:v>
      </x:c>
      <x:c r="C18" s="39" t="n">
        <x:v>147</x:v>
      </x:c>
      <x:c r="D18" s="39" t="n">
        <x:v>200</x:v>
      </x:c>
      <x:c r="E18" s="39" t="n">
        <x:v>16</x:v>
      </x:c>
      <x:c r="F18" s="39" t="n">
        <x:v>1</x:v>
      </x:c>
      <x:c r="G18" s="40" t="n">
        <x:f>C18*D18/1000000</x:f>
        <x:v>0.0294</x:v>
      </x:c>
      <x:c r="H18" s="40" t="n">
        <x:f>G18*F18</x:f>
        <x:v>0.0294</x:v>
      </x:c>
      <x:c r="I18" s="45" t="str"/>
    </x:row>
    <x:row r="19" ht="30" customHeight="1">
      <x:c r="A19" s="38" t="n">
        <x:v>11</x:v>
      </x:c>
      <x:c r="B19" s="38" t="str">
        <x:v>Модерн</x:v>
      </x:c>
      <x:c r="C19" s="39" t="n">
        <x:v>147</x:v>
      </x:c>
      <x:c r="D19" s="39" t="n">
        <x:v>2510</x:v>
      </x:c>
      <x:c r="E19" s="39" t="n">
        <x:v>16</x:v>
      </x:c>
      <x:c r="F19" s="39" t="n">
        <x:v>1</x:v>
      </x:c>
      <x:c r="G19" s="40" t="n">
        <x:f>C19*D19/1000000</x:f>
        <x:v>0.36897</x:v>
      </x:c>
      <x:c r="H19" s="40" t="n">
        <x:f>G19*F19</x:f>
        <x:v>0.36897</x:v>
      </x:c>
      <x:c r="I19" s="45" t="str"/>
    </x:row>
    <x:row r="20" ht="30" customHeight="1">
      <x:c r="A20" s="38" t="n">
        <x:v>12</x:v>
      </x:c>
      <x:c r="B20" s="38" t="str">
        <x:v>Модерн</x:v>
      </x:c>
      <x:c r="C20" s="39" t="n">
        <x:v>147</x:v>
      </x:c>
      <x:c r="D20" s="39" t="n">
        <x:v>700</x:v>
      </x:c>
      <x:c r="E20" s="39" t="n">
        <x:v>16</x:v>
      </x:c>
      <x:c r="F20" s="39" t="n">
        <x:v>1</x:v>
      </x:c>
      <x:c r="G20" s="40" t="n">
        <x:f>C20*D20/1000000</x:f>
        <x:v>0.1029</x:v>
      </x:c>
      <x:c r="H20" s="40" t="n">
        <x:f>G20*F20</x:f>
        <x:v>0.1029</x:v>
      </x:c>
      <x:c r="I20" s="45" t="str"/>
    </x:row>
    <x:row r="21" ht="30" customHeight="1">
      <x:c r="A21" s="38" t="n">
        <x:v>13</x:v>
      </x:c>
      <x:c r="B21" s="38" t="str">
        <x:v>Модерн</x:v>
      </x:c>
      <x:c r="C21" s="39" t="n">
        <x:v>1680</x:v>
      </x:c>
      <x:c r="D21" s="39" t="n">
        <x:v>20</x:v>
      </x:c>
      <x:c r="E21" s="39" t="n">
        <x:v>16</x:v>
      </x:c>
      <x:c r="F21" s="39" t="n">
        <x:v>1</x:v>
      </x:c>
      <x:c r="G21" s="40" t="n">
        <x:f>C21*D21/1000000</x:f>
        <x:v>0.0336</x:v>
      </x:c>
      <x:c r="H21" s="40" t="n">
        <x:f>G21*F21</x:f>
        <x:v>0.0336</x:v>
      </x:c>
      <x:c r="I21" s="45" t="str"/>
    </x:row>
    <x:row r="22" ht="30" customHeight="1">
      <x:c r="A22" s="38" t="n">
        <x:v>14</x:v>
      </x:c>
      <x:c r="B22" s="38" t="str">
        <x:v>Модерн</x:v>
      </x:c>
      <x:c r="C22" s="39" t="n">
        <x:v>105</x:v>
      </x:c>
      <x:c r="D22" s="39" t="n">
        <x:v>1300</x:v>
      </x:c>
      <x:c r="E22" s="39" t="n">
        <x:v>16</x:v>
      </x:c>
      <x:c r="F22" s="39" t="n">
        <x:v>1</x:v>
      </x:c>
      <x:c r="G22" s="40" t="n">
        <x:f>C22*D22/1000000</x:f>
        <x:v>0.1365</x:v>
      </x:c>
      <x:c r="H22" s="40" t="n">
        <x:f>G22*F22</x:f>
        <x:v>0.1365</x:v>
      </x:c>
      <x:c r="I22" s="45" t="str"/>
    </x:row>
    <x:row r="23" ht="30" customHeight="1">
      <x:c r="A23" s="38" t="n">
        <x:v>15</x:v>
      </x:c>
      <x:c r="B23" s="38" t="str">
        <x:v>Модерн</x:v>
      </x:c>
      <x:c r="C23" s="39" t="n">
        <x:v>105</x:v>
      </x:c>
      <x:c r="D23" s="39" t="n">
        <x:v>1250</x:v>
      </x:c>
      <x:c r="E23" s="39" t="n">
        <x:v>16</x:v>
      </x:c>
      <x:c r="F23" s="39" t="n">
        <x:v>1</x:v>
      </x:c>
      <x:c r="G23" s="40" t="n">
        <x:f>C23*D23/1000000</x:f>
        <x:v>0.13125</x:v>
      </x:c>
      <x:c r="H23" s="40" t="n">
        <x:f>G23*F23</x:f>
        <x:v>0.13125</x:v>
      </x:c>
      <x:c r="I23" s="45" t="str"/>
    </x:row>
    <x:row r="24" ht="30" customHeight="1">
      <x:c r="A24" s="38" t="n">
        <x:v>16</x:v>
      </x:c>
      <x:c r="B24" s="38" t="str">
        <x:v>Модерн</x:v>
      </x:c>
      <x:c r="C24" s="39" t="n">
        <x:v>105</x:v>
      </x:c>
      <x:c r="D24" s="39" t="n">
        <x:v>650</x:v>
      </x:c>
      <x:c r="E24" s="39" t="n">
        <x:v>16</x:v>
      </x:c>
      <x:c r="F24" s="39" t="n">
        <x:v>2</x:v>
      </x:c>
      <x:c r="G24" s="40" t="n">
        <x:f>C24*D24/1000000</x:f>
        <x:v>0.06825</x:v>
      </x:c>
      <x:c r="H24" s="40" t="n">
        <x:f>G24*F24</x:f>
        <x:v>0.1365</x:v>
      </x:c>
      <x:c r="I24" s="45" t="str"/>
    </x:row>
    <x:row r="25" ht="30" customHeight="1">
      <x:c r="A25" s="38" t="n">
        <x:v>17</x:v>
      </x:c>
      <x:c r="B25" s="38" t="str">
        <x:v>Модерн</x:v>
      </x:c>
      <x:c r="C25" s="39" t="n">
        <x:v>718</x:v>
      </x:c>
      <x:c r="D25" s="39" t="n">
        <x:v>44</x:v>
      </x:c>
      <x:c r="E25" s="39" t="n">
        <x:v>16</x:v>
      </x:c>
      <x:c r="F25" s="39" t="n">
        <x:v>1</x:v>
      </x:c>
      <x:c r="G25" s="40" t="n">
        <x:f>C25*D25/1000000</x:f>
        <x:v>0.031592</x:v>
      </x:c>
      <x:c r="H25" s="40" t="n">
        <x:f>G25*F25</x:f>
        <x:v>0.031592</x:v>
      </x:c>
      <x:c r="I25" s="45" t="str"/>
    </x:row>
    <x:row r="26" ht="30" customHeight="1">
      <x:c r="A26" s="38" t="n">
        <x:v>18</x:v>
      </x:c>
      <x:c r="B26" s="38" t="str">
        <x:v>Модерн</x:v>
      </x:c>
      <x:c r="C26" s="39" t="n">
        <x:v>600</x:v>
      </x:c>
      <x:c r="D26" s="39" t="n">
        <x:v>40</x:v>
      </x:c>
      <x:c r="E26" s="39" t="n">
        <x:v>16</x:v>
      </x:c>
      <x:c r="F26" s="39" t="n">
        <x:v>1</x:v>
      </x:c>
      <x:c r="G26" s="40" t="n">
        <x:f>C26*D26/1000000</x:f>
        <x:v>0.024</x:v>
      </x:c>
      <x:c r="H26" s="40" t="n">
        <x:f>G26*F26</x:f>
        <x:v>0.024</x:v>
      </x:c>
      <x:c r="I26" s="45" t="str"/>
    </x:row>
    <x:row r="27" ht="30" customHeight="1">
      <x:c r="A27" s="41" t="n">
        <x:v>19</x:v>
      </x:c>
      <x:c r="B27" s="41" t="str">
        <x:v>Витрина</x:v>
      </x:c>
      <x:c r="C27" s="42" t="n">
        <x:v>498</x:v>
      </x:c>
      <x:c r="D27" s="42" t="n">
        <x:v>498</x:v>
      </x:c>
      <x:c r="E27" s="42" t="n">
        <x:v>16</x:v>
      </x:c>
      <x:c r="F27" s="42" t="n">
        <x:v>3</x:v>
      </x:c>
      <x:c r="G27" s="43" t="n">
        <x:f>C27*D27/1000000</x:f>
        <x:v>0.248004</x:v>
      </x:c>
      <x:c r="H27" s="43" t="n">
        <x:f>G27*F27</x:f>
        <x:v>0.744012</x:v>
      </x:c>
      <x:c r="I27" s="46" t="str"/>
    </x:row>
    <x:row r="28" ht="30" customHeight="1">
      <x:c r="A28" s="41" t="n">
        <x:v>20</x:v>
      </x:c>
      <x:c r="B28" s="41" t="str">
        <x:v>Витрина</x:v>
      </x:c>
      <x:c r="C28" s="42" t="n">
        <x:v>1628</x:v>
      </x:c>
      <x:c r="D28" s="42" t="n">
        <x:v>498</x:v>
      </x:c>
      <x:c r="E28" s="42" t="n">
        <x:v>16</x:v>
      </x:c>
      <x:c r="F28" s="42" t="n">
        <x:v>3</x:v>
      </x:c>
      <x:c r="G28" s="43" t="n">
        <x:f>C28*D28/1000000</x:f>
        <x:v>0.810744</x:v>
      </x:c>
      <x:c r="H28" s="43" t="n">
        <x:f>G28*F28</x:f>
        <x:v>2.432232</x:v>
      </x:c>
      <x:c r="I28" s="46" t="str">
        <x:v>Выборка под стекло с задней стороны: глубина 10 мм, отступ от наружного края 20 мм.</x:v>
      </x:c>
    </x:row>
    <x:row r="29" ht="30" customHeight="1">
      <x:c r="A29" s="38" t="n">
        <x:v>21</x:v>
      </x:c>
      <x:c r="B29" s="38" t="str">
        <x:v>Модерн</x:v>
      </x:c>
      <x:c r="C29" s="39" t="n">
        <x:v>2230</x:v>
      </x:c>
      <x:c r="D29" s="39" t="n">
        <x:v>450</x:v>
      </x:c>
      <x:c r="E29" s="39" t="n">
        <x:v>16</x:v>
      </x:c>
      <x:c r="F29" s="39" t="n">
        <x:v>2</x:v>
      </x:c>
      <x:c r="G29" s="40" t="n">
        <x:f>C29*D29/1000000</x:f>
        <x:v>1.0035</x:v>
      </x:c>
      <x:c r="H29" s="40" t="n">
        <x:f>G29*F29</x:f>
        <x:v>2.007</x:v>
      </x:c>
      <x:c r="I29" s="45" t="str">
        <x:v>Подкрас с обратной стороны: 100 мм по одной длине.</x:v>
      </x:c>
    </x:row>
    <x:row r="30" ht="30" customHeight="1">
      <x:c r="A30" s="38" t="n">
        <x:v>22</x:v>
      </x:c>
      <x:c r="B30" s="38" t="str">
        <x:v>Модерн</x:v>
      </x:c>
      <x:c r="C30" s="39" t="n">
        <x:v>97</x:v>
      </x:c>
      <x:c r="D30" s="39" t="n">
        <x:v>1500</x:v>
      </x:c>
      <x:c r="E30" s="39" t="n">
        <x:v>16</x:v>
      </x:c>
      <x:c r="F30" s="39" t="n">
        <x:v>1</x:v>
      </x:c>
      <x:c r="G30" s="40" t="n">
        <x:f>C30*D30/1000000</x:f>
        <x:v>0.1455</x:v>
      </x:c>
      <x:c r="H30" s="40" t="n">
        <x:f>G30*F30</x:f>
        <x:v>0.1455</x:v>
      </x:c>
      <x:c r="I30" s="45" t="str"/>
    </x:row>
    <x:row r="32">
      <x:c r="A32" s="14" t="str">
        <x:v>Итого деталей</x:v>
      </x:c>
      <x:c r="B32" s="14" t="n">
        <x:f>SUM(F9:F30)</x:f>
        <x:v>35</x:v>
      </x:c>
    </x:row>
    <x:row r="33">
      <x:c r="A33" s="14" t="str">
        <x:v>Итого площадь, м²</x:v>
      </x:c>
      <x:c r="B33" s="49" t="n">
        <x:f>SUM(H9:H30)</x:f>
        <x:v>11.903932</x:v>
      </x:c>
    </x:row>
  </x:sheetData>
  <x:mergeCells>
    <x:mergeCell ref="A1:I1"/>
    <x:mergeCell ref="D2:H2"/>
    <x:mergeCell ref="D3:G3"/>
    <x:mergeCell ref="D4:G4"/>
    <x:mergeCell ref="D5:G5"/>
    <x:mergeCell ref="D6:G6"/>
    <x:mergeCell ref="D7:G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2" hidden="0" customWidth="1"/>
    <x:col min="7" max="7" width="14" hidden="0" customWidth="1"/>
    <x:col min="8" max="8" width="14" hidden="0" customWidth="1"/>
    <x:col min="9" max="9" width="52" hidden="0" customWidth="1"/>
  </x:cols>
  <x:sheetData>
    <x:row r="1">
      <x:c r="A1" s="3" t="str">
        <x:v>Юля, фасады, выборка 90 градусов — NCS S 1000-N</x:v>
      </x:c>
      <x:c r="B1" s="3"/>
      <x:c r="C1" s="3"/>
      <x:c r="D1" s="3"/>
      <x:c r="E1" s="3"/>
      <x:c r="F1" s="3"/>
      <x:c r="G1" s="3"/>
      <x:c r="H1" s="3"/>
      <x:c r="I1" s="3"/>
    </x:row>
    <x:row r="2">
      <x:c r="D2" s="8" t="str">
        <x:v>ВЕСЬ ЗАКАЗ</x:v>
      </x:c>
      <x:c r="E2" s="8"/>
      <x:c r="F2" s="8"/>
      <x:c r="G2" s="8"/>
      <x:c r="H2" s="8"/>
    </x:row>
    <x:row r="3">
      <x:c r="A3" s="4" t="str">
        <x:v>Материал</x:v>
      </x:c>
      <x:c r="B3" s="4" t="str">
        <x:v>МДФ 16 мм</x:v>
      </x:c>
      <x:c r="D3" s="11" t="str">
        <x:v>Общее количество деталей</x:v>
      </x:c>
      <x:c r="E3" s="10"/>
      <x:c r="F3" s="10"/>
      <x:c r="G3" s="10"/>
      <x:c r="H3" s="16" t="n">
        <x:f>'Общий итог'!C6</x:f>
        <x:v>56</x:v>
      </x:c>
    </x:row>
    <x:row r="4">
      <x:c r="A4" s="4" t="str">
        <x:v>Расчёт</x:v>
      </x:c>
      <x:c r="B4" s="4" t="str">
        <x:v>Одна лицевая плоскость</x:v>
      </x:c>
      <x:c r="D4" s="11" t="str">
        <x:v>Общая квадратура, м²</x:v>
      </x:c>
      <x:c r="E4" s="10"/>
      <x:c r="F4" s="10"/>
      <x:c r="G4" s="10"/>
      <x:c r="H4" s="17" t="n">
        <x:f>'Общий итог'!D6</x:f>
        <x:v>17.678846</x:v>
      </x:c>
    </x:row>
    <x:row r="5">
      <x:c r="A5" s="6" t="str">
        <x:v>Количество деталей</x:v>
      </x:c>
      <x:c r="B5" s="6" t="n">
        <x:f>SUM(F9:F19)</x:f>
        <x:v>21</x:v>
      </x:c>
      <x:c r="D5" s="11" t="str">
        <x:v>Фрезерованная выборка, м²</x:v>
      </x:c>
      <x:c r="E5" s="10"/>
      <x:c r="F5" s="10"/>
      <x:c r="G5" s="10"/>
      <x:c r="H5" s="17" t="n">
        <x:f>'Общий итог'!D10</x:f>
        <x:v>10.262790000000003</x:v>
      </x:c>
    </x:row>
    <x:row r="6">
      <x:c r="A6" s="6" t="str">
        <x:v>Общая площадь, м²</x:v>
      </x:c>
      <x:c r="B6" s="6" t="n">
        <x:f>SUM(H9:H19)</x:f>
        <x:v>5.774914</x:v>
      </x:c>
      <x:c r="D6" s="11" t="str">
        <x:v>Модерн, м²</x:v>
      </x:c>
      <x:c r="E6" s="10"/>
      <x:c r="F6" s="10"/>
      <x:c r="G6" s="10"/>
      <x:c r="H6" s="17" t="n">
        <x:f>'Общий итог'!D11</x:f>
        <x:v>4.239812000000001</x:v>
      </x:c>
    </x:row>
    <x:row r="7">
      <x:c r="D7" s="11" t="str">
        <x:v>Витрина, м²</x:v>
      </x:c>
      <x:c r="E7" s="10"/>
      <x:c r="F7" s="10"/>
      <x:c r="G7" s="10"/>
      <x:c r="H7" s="17" t="n">
        <x:f>'Общий итог'!D12</x:f>
        <x:v>3.176244</x:v>
      </x:c>
    </x:row>
    <x:row r="8" ht="30" customHeight="1">
      <x:c r="A8" s="22" t="str">
        <x:v>№</x:v>
      </x:c>
      <x:c r="B8" s="22" t="str">
        <x:v>Тип</x:v>
      </x:c>
      <x:c r="C8" s="22" t="str">
        <x:v>Высота, мм</x:v>
      </x:c>
      <x:c r="D8" s="22" t="str">
        <x:v>Ширина, мм</x:v>
      </x:c>
      <x:c r="E8" s="22" t="str">
        <x:v>Толщина, мм</x:v>
      </x:c>
      <x:c r="F8" s="22" t="str">
        <x:v>Количество</x:v>
      </x:c>
      <x:c r="G8" s="22" t="str">
        <x:v>м² за 1 шт.</x:v>
      </x:c>
      <x:c r="H8" s="22" t="str">
        <x:v>Всего, м²</x:v>
      </x:c>
      <x:c r="I8" s="22" t="str">
        <x:v>Примечание</x:v>
      </x:c>
    </x:row>
    <x:row r="9" ht="30" customHeight="1">
      <x:c r="A9" s="35" t="n">
        <x:v>1</x:v>
      </x:c>
      <x:c r="B9" s="35" t="str">
        <x:v>Выборка</x:v>
      </x:c>
      <x:c r="C9" s="36" t="n">
        <x:v>718</x:v>
      </x:c>
      <x:c r="D9" s="36" t="n">
        <x:v>448</x:v>
      </x:c>
      <x:c r="E9" s="36" t="n">
        <x:v>16</x:v>
      </x:c>
      <x:c r="F9" s="36" t="n">
        <x:v>4</x:v>
      </x:c>
      <x:c r="G9" s="37" t="n">
        <x:f>C9*D9/1000000</x:f>
        <x:v>0.321664</x:v>
      </x:c>
      <x:c r="H9" s="37" t="n">
        <x:f>G9*F9</x:f>
        <x:v>1.286656</x:v>
      </x:c>
      <x:c r="I9" s="44" t="str"/>
    </x:row>
    <x:row r="10" ht="30" customHeight="1">
      <x:c r="A10" s="35" t="n">
        <x:v>2</x:v>
      </x:c>
      <x:c r="B10" s="35" t="str">
        <x:v>Выборка</x:v>
      </x:c>
      <x:c r="C10" s="36" t="n">
        <x:v>718</x:v>
      </x:c>
      <x:c r="D10" s="36" t="n">
        <x:v>598</x:v>
      </x:c>
      <x:c r="E10" s="36" t="n">
        <x:v>16</x:v>
      </x:c>
      <x:c r="F10" s="36" t="n">
        <x:v>3</x:v>
      </x:c>
      <x:c r="G10" s="37" t="n">
        <x:f>C10*D10/1000000</x:f>
        <x:v>0.429364</x:v>
      </x:c>
      <x:c r="H10" s="37" t="n">
        <x:f>G10*F10</x:f>
        <x:v>1.288092</x:v>
      </x:c>
      <x:c r="I10" s="44" t="str"/>
    </x:row>
    <x:row r="11" ht="30" customHeight="1">
      <x:c r="A11" s="35" t="n">
        <x:v>3</x:v>
      </x:c>
      <x:c r="B11" s="35" t="str">
        <x:v>Выборка</x:v>
      </x:c>
      <x:c r="C11" s="36" t="n">
        <x:v>718</x:v>
      </x:c>
      <x:c r="D11" s="36" t="n">
        <x:v>553</x:v>
      </x:c>
      <x:c r="E11" s="36" t="n">
        <x:v>16</x:v>
      </x:c>
      <x:c r="F11" s="36" t="n">
        <x:v>1</x:v>
      </x:c>
      <x:c r="G11" s="37" t="n">
        <x:f>C11*D11/1000000</x:f>
        <x:v>0.397054</x:v>
      </x:c>
      <x:c r="H11" s="37" t="n">
        <x:f>G11*F11</x:f>
        <x:v>0.397054</x:v>
      </x:c>
      <x:c r="I11" s="44" t="str"/>
    </x:row>
    <x:row r="12" ht="30" customHeight="1">
      <x:c r="A12" s="35" t="n">
        <x:v>4</x:v>
      </x:c>
      <x:c r="B12" s="35" t="str">
        <x:v>Выборка</x:v>
      </x:c>
      <x:c r="C12" s="36" t="n">
        <x:v>358</x:v>
      </x:c>
      <x:c r="D12" s="36" t="n">
        <x:v>898</x:v>
      </x:c>
      <x:c r="E12" s="36" t="n">
        <x:v>16</x:v>
      </x:c>
      <x:c r="F12" s="36" t="n">
        <x:v>2</x:v>
      </x:c>
      <x:c r="G12" s="37" t="n">
        <x:f>C12*D12/1000000</x:f>
        <x:v>0.321484</x:v>
      </x:c>
      <x:c r="H12" s="37" t="n">
        <x:f>G12*F12</x:f>
        <x:v>0.642968</x:v>
      </x:c>
      <x:c r="I12" s="44" t="str"/>
    </x:row>
    <x:row r="13" ht="30" customHeight="1">
      <x:c r="A13" s="35" t="n">
        <x:v>5</x:v>
      </x:c>
      <x:c r="B13" s="35" t="str">
        <x:v>Выборка</x:v>
      </x:c>
      <x:c r="C13" s="36" t="n">
        <x:v>178</x:v>
      </x:c>
      <x:c r="D13" s="36" t="n">
        <x:v>898</x:v>
      </x:c>
      <x:c r="E13" s="36" t="n">
        <x:v>16</x:v>
      </x:c>
      <x:c r="F13" s="36" t="n">
        <x:v>4</x:v>
      </x:c>
      <x:c r="G13" s="37" t="n">
        <x:f>C13*D13/1000000</x:f>
        <x:v>0.159844</x:v>
      </x:c>
      <x:c r="H13" s="37" t="n">
        <x:f>G13*F13</x:f>
        <x:v>0.639376</x:v>
      </x:c>
      <x:c r="I13" s="44" t="str"/>
    </x:row>
    <x:row r="14" ht="30" customHeight="1">
      <x:c r="A14" s="35" t="n">
        <x:v>6</x:v>
      </x:c>
      <x:c r="B14" s="35" t="str">
        <x:v>Выборка</x:v>
      </x:c>
      <x:c r="C14" s="36" t="n">
        <x:v>358</x:v>
      </x:c>
      <x:c r="D14" s="36" t="n">
        <x:v>598</x:v>
      </x:c>
      <x:c r="E14" s="36" t="n">
        <x:v>16</x:v>
      </x:c>
      <x:c r="F14" s="36" t="n">
        <x:v>2</x:v>
      </x:c>
      <x:c r="G14" s="37" t="n">
        <x:f>C14*D14/1000000</x:f>
        <x:v>0.214084</x:v>
      </x:c>
      <x:c r="H14" s="37" t="n">
        <x:f>G14*F14</x:f>
        <x:v>0.428168</x:v>
      </x:c>
      <x:c r="I14" s="44" t="str"/>
    </x:row>
    <x:row r="15" ht="30" customHeight="1">
      <x:c r="A15" s="38" t="n">
        <x:v>7</x:v>
      </x:c>
      <x:c r="B15" s="38" t="str">
        <x:v>Модерн</x:v>
      </x:c>
      <x:c r="C15" s="39" t="n">
        <x:v>718</x:v>
      </x:c>
      <x:c r="D15" s="39" t="n">
        <x:v>50</x:v>
      </x:c>
      <x:c r="E15" s="39" t="n">
        <x:v>16</x:v>
      </x:c>
      <x:c r="F15" s="39" t="n">
        <x:v>1</x:v>
      </x:c>
      <x:c r="G15" s="40" t="n">
        <x:f>C15*D15/1000000</x:f>
        <x:v>0.0359</x:v>
      </x:c>
      <x:c r="H15" s="40" t="n">
        <x:f>G15*F15</x:f>
        <x:v>0.0359</x:v>
      </x:c>
      <x:c r="I15" s="45" t="str"/>
    </x:row>
    <x:row r="16" ht="30" customHeight="1">
      <x:c r="A16" s="38" t="n">
        <x:v>8</x:v>
      </x:c>
      <x:c r="B16" s="38" t="str">
        <x:v>Модерн</x:v>
      </x:c>
      <x:c r="C16" s="39" t="n">
        <x:v>718</x:v>
      </x:c>
      <x:c r="D16" s="39" t="n">
        <x:v>100</x:v>
      </x:c>
      <x:c r="E16" s="39" t="n">
        <x:v>16</x:v>
      </x:c>
      <x:c r="F16" s="39" t="n">
        <x:v>1</x:v>
      </x:c>
      <x:c r="G16" s="40" t="n">
        <x:f>C16*D16/1000000</x:f>
        <x:v>0.0718</x:v>
      </x:c>
      <x:c r="H16" s="40" t="n">
        <x:f>G16*F16</x:f>
        <x:v>0.0718</x:v>
      </x:c>
      <x:c r="I16" s="45" t="str"/>
    </x:row>
    <x:row r="17" ht="30" customHeight="1">
      <x:c r="A17" s="38" t="n">
        <x:v>9</x:v>
      </x:c>
      <x:c r="B17" s="38" t="str">
        <x:v>Модерн</x:v>
      </x:c>
      <x:c r="C17" s="39" t="n">
        <x:v>147</x:v>
      </x:c>
      <x:c r="D17" s="39" t="n">
        <x:v>2750</x:v>
      </x:c>
      <x:c r="E17" s="39" t="n">
        <x:v>16</x:v>
      </x:c>
      <x:c r="F17" s="39" t="n">
        <x:v>1</x:v>
      </x:c>
      <x:c r="G17" s="40" t="n">
        <x:f>C17*D17/1000000</x:f>
        <x:v>0.40425</x:v>
      </x:c>
      <x:c r="H17" s="40" t="n">
        <x:f>G17*F17</x:f>
        <x:v>0.40425</x:v>
      </x:c>
      <x:c r="I17" s="45" t="str"/>
    </x:row>
    <x:row r="18" ht="30" customHeight="1">
      <x:c r="A18" s="38" t="n">
        <x:v>10</x:v>
      </x:c>
      <x:c r="B18" s="38" t="str">
        <x:v>Модерн</x:v>
      </x:c>
      <x:c r="C18" s="39" t="n">
        <x:v>147</x:v>
      </x:c>
      <x:c r="D18" s="39" t="n">
        <x:v>2700</x:v>
      </x:c>
      <x:c r="E18" s="39" t="n">
        <x:v>16</x:v>
      </x:c>
      <x:c r="F18" s="39" t="n">
        <x:v>1</x:v>
      </x:c>
      <x:c r="G18" s="40" t="n">
        <x:f>C18*D18/1000000</x:f>
        <x:v>0.3969</x:v>
      </x:c>
      <x:c r="H18" s="40" t="n">
        <x:f>G18*F18</x:f>
        <x:v>0.3969</x:v>
      </x:c>
      <x:c r="I18" s="45" t="str"/>
    </x:row>
    <x:row r="19" ht="30" customHeight="1">
      <x:c r="A19" s="38" t="n">
        <x:v>11</x:v>
      </x:c>
      <x:c r="B19" s="38" t="str">
        <x:v>Модерн</x:v>
      </x:c>
      <x:c r="C19" s="39" t="n">
        <x:v>147</x:v>
      </x:c>
      <x:c r="D19" s="39" t="n">
        <x:v>1250</x:v>
      </x:c>
      <x:c r="E19" s="39" t="n">
        <x:v>16</x:v>
      </x:c>
      <x:c r="F19" s="39" t="n">
        <x:v>1</x:v>
      </x:c>
      <x:c r="G19" s="40" t="n">
        <x:f>C19*D19/1000000</x:f>
        <x:v>0.18375</x:v>
      </x:c>
      <x:c r="H19" s="40" t="n">
        <x:f>G19*F19</x:f>
        <x:v>0.18375</x:v>
      </x:c>
      <x:c r="I19" s="45" t="str"/>
    </x:row>
    <x:row r="21">
      <x:c r="A21" s="14" t="str">
        <x:v>Итого деталей</x:v>
      </x:c>
      <x:c r="B21" s="14" t="n">
        <x:f>SUM(F9:F19)</x:f>
        <x:v>21</x:v>
      </x:c>
    </x:row>
    <x:row r="22">
      <x:c r="A22" s="14" t="str">
        <x:v>Итого площадь, м²</x:v>
      </x:c>
      <x:c r="B22" s="49" t="n">
        <x:f>SUM(H9:H19)</x:f>
        <x:v>5.774914</x:v>
      </x:c>
    </x:row>
  </x:sheetData>
  <x:mergeCells>
    <x:mergeCell ref="A1:I1"/>
    <x:mergeCell ref="D2:H2"/>
    <x:mergeCell ref="D3:G3"/>
    <x:mergeCell ref="D4:G4"/>
    <x:mergeCell ref="D5:G5"/>
    <x:mergeCell ref="D6:G6"/>
    <x:mergeCell ref="D7:G7"/>
  </x:mergeCells>
  <x:pageMargins left="0.7" right="0.7" top="0.75" bottom="0.75" header="0.3" footer="0.3"/>
</x:worksheet>
</file>