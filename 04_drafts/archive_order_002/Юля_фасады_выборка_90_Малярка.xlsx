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1135" windowHeight="11280"/>
  </bookViews>
  <sheets>
    <sheet name="Общий итог" sheetId="1" r:id="rId1"/>
    <sheet name="6010-R90B" sheetId="2" r:id="rId2"/>
    <sheet name="1000-N" sheetId="3" r:id="rId3"/>
  </sheets>
  <calcPr calcId="152511"/>
</workbook>
</file>

<file path=xl/calcChain.xml><?xml version="1.0" encoding="utf-8"?>
<calcChain xmlns="http://schemas.openxmlformats.org/spreadsheetml/2006/main">
  <c r="B21" i="3" l="1"/>
  <c r="G19" i="3"/>
  <c r="H19" i="3" s="1"/>
  <c r="G18" i="3"/>
  <c r="H18" i="3" s="1"/>
  <c r="G17" i="3"/>
  <c r="H17" i="3" s="1"/>
  <c r="G16" i="3"/>
  <c r="H16" i="3" s="1"/>
  <c r="G15" i="3"/>
  <c r="H15" i="3" s="1"/>
  <c r="G14" i="3"/>
  <c r="H14" i="3" s="1"/>
  <c r="G13" i="3"/>
  <c r="H13" i="3" s="1"/>
  <c r="G12" i="3"/>
  <c r="H12" i="3" s="1"/>
  <c r="G11" i="3"/>
  <c r="H11" i="3" s="1"/>
  <c r="G10" i="3"/>
  <c r="H10" i="3" s="1"/>
  <c r="G9" i="3"/>
  <c r="H9" i="3" s="1"/>
  <c r="B5" i="3"/>
  <c r="C5" i="1" s="1"/>
  <c r="C6" i="1" s="1"/>
  <c r="B32" i="2"/>
  <c r="G30" i="2"/>
  <c r="H30" i="2" s="1"/>
  <c r="H29" i="2"/>
  <c r="G29" i="2"/>
  <c r="G28" i="2"/>
  <c r="H28" i="2" s="1"/>
  <c r="G27" i="2"/>
  <c r="H27" i="2" s="1"/>
  <c r="D12" i="1" s="1"/>
  <c r="G26" i="2"/>
  <c r="H26" i="2" s="1"/>
  <c r="G25" i="2"/>
  <c r="H25" i="2" s="1"/>
  <c r="G24" i="2"/>
  <c r="H24" i="2" s="1"/>
  <c r="H23" i="2"/>
  <c r="G23" i="2"/>
  <c r="G22" i="2"/>
  <c r="H22" i="2" s="1"/>
  <c r="H21" i="2"/>
  <c r="G21" i="2"/>
  <c r="G20" i="2"/>
  <c r="H20" i="2" s="1"/>
  <c r="G19" i="2"/>
  <c r="H19" i="2" s="1"/>
  <c r="G18" i="2"/>
  <c r="H18" i="2" s="1"/>
  <c r="D11" i="1" s="1"/>
  <c r="G17" i="2"/>
  <c r="H17" i="2" s="1"/>
  <c r="G16" i="2"/>
  <c r="H16" i="2" s="1"/>
  <c r="H15" i="2"/>
  <c r="G15" i="2"/>
  <c r="G14" i="2"/>
  <c r="H14" i="2" s="1"/>
  <c r="H13" i="2"/>
  <c r="G13" i="2"/>
  <c r="G12" i="2"/>
  <c r="H12" i="2" s="1"/>
  <c r="G11" i="2"/>
  <c r="H11" i="2" s="1"/>
  <c r="G10" i="2"/>
  <c r="H10" i="2" s="1"/>
  <c r="G9" i="2"/>
  <c r="H9" i="2" s="1"/>
  <c r="B5" i="2"/>
  <c r="C12" i="1"/>
  <c r="B12" i="1"/>
  <c r="C11" i="1"/>
  <c r="B11" i="1"/>
  <c r="C10" i="1"/>
  <c r="C13" i="1" s="1"/>
  <c r="B10" i="1"/>
  <c r="B13" i="1" s="1"/>
  <c r="C4" i="1"/>
  <c r="B18" i="1" l="1"/>
  <c r="D18" i="1" s="1"/>
  <c r="C30" i="1"/>
  <c r="C25" i="1"/>
  <c r="H6" i="3"/>
  <c r="H6" i="2"/>
  <c r="H3" i="2"/>
  <c r="H3" i="3"/>
  <c r="B22" i="3"/>
  <c r="B6" i="3"/>
  <c r="D5" i="1" s="1"/>
  <c r="B33" i="2"/>
  <c r="B6" i="2"/>
  <c r="D4" i="1" s="1"/>
  <c r="D6" i="1" s="1"/>
  <c r="D10" i="1"/>
  <c r="B19" i="1"/>
  <c r="D19" i="1" s="1"/>
  <c r="H7" i="2"/>
  <c r="C32" i="1"/>
  <c r="E32" i="1" s="1"/>
  <c r="G32" i="1" s="1"/>
  <c r="C27" i="1"/>
  <c r="E27" i="1" s="1"/>
  <c r="G27" i="1" s="1"/>
  <c r="H7" i="3"/>
  <c r="H5" i="2" l="1"/>
  <c r="C31" i="1"/>
  <c r="E31" i="1" s="1"/>
  <c r="G31" i="1" s="1"/>
  <c r="B17" i="1"/>
  <c r="D17" i="1" s="1"/>
  <c r="D13" i="1"/>
  <c r="C26" i="1"/>
  <c r="E26" i="1" s="1"/>
  <c r="G26" i="1" s="1"/>
  <c r="H5" i="3"/>
  <c r="H4" i="3"/>
  <c r="H4" i="2"/>
  <c r="C28" i="1"/>
  <c r="E25" i="1"/>
  <c r="E30" i="1"/>
  <c r="C33" i="1"/>
  <c r="E33" i="1" l="1"/>
  <c r="G30" i="1"/>
  <c r="G33" i="1" s="1"/>
  <c r="E28" i="1"/>
  <c r="G25" i="1"/>
  <c r="G28" i="1" s="1"/>
  <c r="G35" i="1" s="1"/>
  <c r="D20" i="1"/>
  <c r="D21" i="1"/>
  <c r="G36" i="1" l="1"/>
</calcChain>
</file>

<file path=xl/sharedStrings.xml><?xml version="1.0" encoding="utf-8"?>
<sst xmlns="http://schemas.openxmlformats.org/spreadsheetml/2006/main" count="143" uniqueCount="64">
  <si>
    <t>Юля, фасады, выборка 90 градусов — общий итог</t>
  </si>
  <si>
    <t>Цвет</t>
  </si>
  <si>
    <t>Размерных строк</t>
  </si>
  <si>
    <t>Деталей</t>
  </si>
  <si>
    <t>Площадь, м²</t>
  </si>
  <si>
    <t>NCS S 6010-R90B</t>
  </si>
  <si>
    <t>NCS S 1000-N</t>
  </si>
  <si>
    <t>Весь заказ</t>
  </si>
  <si>
    <t>Итог по типу деталей</t>
  </si>
  <si>
    <t>Тип</t>
  </si>
  <si>
    <t>Фрезерованная выборка</t>
  </si>
  <si>
    <t>Модерн</t>
  </si>
  <si>
    <t>Витрина</t>
  </si>
  <si>
    <t>СТОИМОСТЬ РАБОТ</t>
  </si>
  <si>
    <t>Ставка, ₸/м²</t>
  </si>
  <si>
    <t>Сумма, ₸</t>
  </si>
  <si>
    <t>Статус</t>
  </si>
  <si>
    <t>Выборка 90°</t>
  </si>
  <si>
    <t>Рассчитано</t>
  </si>
  <si>
    <t>Итого по заданным ставкам</t>
  </si>
  <si>
    <t>Все типы включены</t>
  </si>
  <si>
    <t>Полная стоимость заказа</t>
  </si>
  <si>
    <t>РАСХОД И СТОИМОСТЬ ГРУНТА И КРАСКИ</t>
  </si>
  <si>
    <t>Материал</t>
  </si>
  <si>
    <t>Тип деталей</t>
  </si>
  <si>
    <t>Норма, кг/м²</t>
  </si>
  <si>
    <t>Расход, кг</t>
  </si>
  <si>
    <t>Цена, ₸/кг</t>
  </si>
  <si>
    <t>Стоимость, ₸</t>
  </si>
  <si>
    <t>Краска</t>
  </si>
  <si>
    <t>Краска — итого</t>
  </si>
  <si>
    <t>Грунт</t>
  </si>
  <si>
    <t>Грунт — итого</t>
  </si>
  <si>
    <t>Стоимость ЛКМ</t>
  </si>
  <si>
    <t>Стоимость работ + ЛКМ</t>
  </si>
  <si>
    <t>Принято для расчёта: витрины считаются по норме грунта для выборки — 0,600 кг/м², так как в деталях есть выборка под стекло.</t>
  </si>
  <si>
    <t>Источник норм: Реестр норм расхода Малярка — Google Drive</t>
  </si>
  <si>
    <t>https://docs.google.com/document/d/1JNChytotc_FnYacu0NHB4F_AVJ1WfvIBxDKvOsq_2RQ</t>
  </si>
  <si>
    <t>Юля, фасады, выборка 90 градусов — NCS S 6010-R90B</t>
  </si>
  <si>
    <t>ВЕСЬ ЗАКАЗ</t>
  </si>
  <si>
    <t>МДФ 16 мм</t>
  </si>
  <si>
    <t>Общее количество деталей</t>
  </si>
  <si>
    <t>Расчёт</t>
  </si>
  <si>
    <t>Одна лицевая плоскость</t>
  </si>
  <si>
    <t>Общая квадратура, м²</t>
  </si>
  <si>
    <t>Количество деталей</t>
  </si>
  <si>
    <t>Фрезерованная выборка, м²</t>
  </si>
  <si>
    <t>Общая площадь, м²</t>
  </si>
  <si>
    <t>Модерн, м²</t>
  </si>
  <si>
    <t>Витрина, м²</t>
  </si>
  <si>
    <t>№</t>
  </si>
  <si>
    <t>Высота, мм</t>
  </si>
  <si>
    <t>Ширина, мм</t>
  </si>
  <si>
    <t>Толщина, мм</t>
  </si>
  <si>
    <t>Количество</t>
  </si>
  <si>
    <t>м² за 1 шт.</t>
  </si>
  <si>
    <t>Всего, м²</t>
  </si>
  <si>
    <t>Примечание</t>
  </si>
  <si>
    <t>Выборка</t>
  </si>
  <si>
    <t>Выборка под стекло с задней стороны: глубина 10 мм, отступ от наружного края 20 мм.</t>
  </si>
  <si>
    <t>Подкрас с обратной стороны: 100 мм по одной длине.</t>
  </si>
  <si>
    <t>Итого деталей</t>
  </si>
  <si>
    <t>Итого площадь, м²</t>
  </si>
  <si>
    <t>Юля, фасады, выборка 90 градусов — NCS S 1000-N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</si>
</sst>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00"/>
    <numFmt numFmtId="165" formatCode="#,##0.00\ &quot;₽&quot;"/>
    <numFmt numFmtId="166" formatCode="0.000"/>
  </numFmts>
  <fonts count="8" x14ac:knownFonts="1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2"/>
      <color rgb="FFFFFFFF"/>
      <name val="Carlito"/>
    </font>
    <font>
      <b/>
      <sz val="11"/>
      <color rgb="FFFFFFFF"/>
      <name val="Carlito"/>
    </font>
    <font>
      <i/>
      <sz val="11"/>
      <color rgb="FF595959"/>
      <name val="Carlito"/>
    </font>
    <font>
      <b/>
      <sz val="11"/>
      <color rgb="FF006100"/>
      <name val="Carlito"/>
    </font>
    <font>
      <sz val="11"/>
      <name val="Carlito"/>
    </font>
  </fonts>
  <fills count="2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D9EAD3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C6E0B4"/>
      </patternFill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BDD7EE"/>
      </patternFill>
    </fill>
    <fill>
      <patternFill patternType="solid">
        <fgColor rgb="FFFFE699"/>
      </patternFill>
    </fill>
    <fill>
      <patternFill patternType="solid">
        <fgColor rgb="FFE2F0D9"/>
      </patternFill>
    </fill>
    <fill>
      <patternFill patternType="solid">
        <fgColor rgb="FFC6E0B4"/>
      </patternFill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93C47D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93C47D"/>
      </left>
      <right style="medium">
        <color rgb="FF93C47D"/>
      </right>
      <top style="medium">
        <color rgb="FF93C47D"/>
      </top>
      <bottom style="medium">
        <color rgb="FF93C47D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BF9000"/>
      </left>
      <right style="medium">
        <color rgb="FFBF9000"/>
      </right>
      <top style="medium">
        <color rgb="FFBF9000"/>
      </top>
      <bottom style="medium">
        <color rgb="FFBF9000"/>
      </bottom>
      <diagonal/>
    </border>
  </borders>
  <cellStyleXfs count="2">
    <xf numFmtId="0" fontId="0" fillId="0" borderId="0"/>
    <xf numFmtId="0" fontId="7" fillId="0" borderId="0"/>
  </cellStyleXfs>
  <cellXfs count="82">
    <xf numFmtId="0" fontId="0" fillId="0" borderId="0" xfId="0"/>
    <xf numFmtId="0" fontId="0" fillId="0" borderId="1" xfId="1" applyNumberFormat="1" applyFont="1" applyFill="1" applyBorder="1"/>
    <xf numFmtId="0" fontId="2" fillId="3" borderId="1" xfId="1" applyNumberFormat="1" applyFont="1" applyFill="1" applyBorder="1"/>
    <xf numFmtId="0" fontId="2" fillId="5" borderId="2" xfId="1" applyNumberFormat="1" applyFont="1" applyFill="1" applyBorder="1"/>
    <xf numFmtId="1" fontId="2" fillId="5" borderId="2" xfId="1" applyNumberFormat="1" applyFont="1" applyFill="1" applyBorder="1" applyAlignment="1">
      <alignment horizontal="right"/>
    </xf>
    <xf numFmtId="164" fontId="2" fillId="5" borderId="2" xfId="1" applyNumberFormat="1" applyFont="1" applyFill="1" applyBorder="1" applyAlignment="1">
      <alignment horizontal="right"/>
    </xf>
    <xf numFmtId="0" fontId="4" fillId="6" borderId="3" xfId="1" applyNumberFormat="1" applyFont="1" applyFill="1" applyBorder="1" applyAlignment="1">
      <alignment horizontal="center" wrapText="1"/>
    </xf>
    <xf numFmtId="0" fontId="0" fillId="7" borderId="0" xfId="1" applyNumberFormat="1" applyFont="1" applyFill="1" applyBorder="1" applyAlignment="1">
      <alignment horizontal="center" vertical="center"/>
    </xf>
    <xf numFmtId="1" fontId="0" fillId="7" borderId="0" xfId="1" applyNumberFormat="1" applyFont="1" applyFill="1" applyBorder="1" applyAlignment="1">
      <alignment horizontal="center" vertical="center"/>
    </xf>
    <xf numFmtId="164" fontId="0" fillId="7" borderId="0" xfId="1" applyNumberFormat="1" applyFont="1" applyFill="1" applyBorder="1" applyAlignment="1">
      <alignment horizontal="center" vertical="center"/>
    </xf>
    <xf numFmtId="0" fontId="0" fillId="8" borderId="0" xfId="1" applyNumberFormat="1" applyFont="1" applyFill="1" applyBorder="1" applyAlignment="1">
      <alignment horizontal="center" vertical="center"/>
    </xf>
    <xf numFmtId="1" fontId="0" fillId="8" borderId="0" xfId="1" applyNumberFormat="1" applyFont="1" applyFill="1" applyBorder="1" applyAlignment="1">
      <alignment horizontal="center" vertical="center"/>
    </xf>
    <xf numFmtId="164" fontId="0" fillId="8" borderId="0" xfId="1" applyNumberFormat="1" applyFont="1" applyFill="1" applyBorder="1" applyAlignment="1">
      <alignment horizontal="center" vertical="center"/>
    </xf>
    <xf numFmtId="0" fontId="0" fillId="9" borderId="0" xfId="1" applyNumberFormat="1" applyFont="1" applyFill="1" applyBorder="1" applyAlignment="1">
      <alignment horizontal="center" vertical="center"/>
    </xf>
    <xf numFmtId="1" fontId="0" fillId="9" borderId="0" xfId="1" applyNumberFormat="1" applyFont="1" applyFill="1" applyBorder="1" applyAlignment="1">
      <alignment horizontal="center" vertical="center"/>
    </xf>
    <xf numFmtId="164" fontId="0" fillId="9" borderId="0" xfId="1" applyNumberFormat="1" applyFont="1" applyFill="1" applyBorder="1" applyAlignment="1">
      <alignment horizontal="center" vertical="center"/>
    </xf>
    <xf numFmtId="0" fontId="0" fillId="7" borderId="0" xfId="1" applyNumberFormat="1" applyFont="1" applyFill="1" applyBorder="1" applyAlignment="1">
      <alignment vertical="center" wrapText="1"/>
    </xf>
    <xf numFmtId="0" fontId="0" fillId="8" borderId="0" xfId="1" applyNumberFormat="1" applyFont="1" applyFill="1" applyBorder="1" applyAlignment="1">
      <alignment vertical="center" wrapText="1"/>
    </xf>
    <xf numFmtId="0" fontId="0" fillId="9" borderId="0" xfId="1" applyNumberFormat="1" applyFont="1" applyFill="1" applyBorder="1" applyAlignment="1">
      <alignment vertical="center" wrapText="1"/>
    </xf>
    <xf numFmtId="164" fontId="2" fillId="5" borderId="2" xfId="1" applyNumberFormat="1" applyFont="1" applyFill="1" applyBorder="1"/>
    <xf numFmtId="0" fontId="4" fillId="6" borderId="3" xfId="1" applyNumberFormat="1" applyFont="1" applyFill="1" applyBorder="1" applyAlignment="1">
      <alignment horizontal="center"/>
    </xf>
    <xf numFmtId="0" fontId="0" fillId="0" borderId="4" xfId="1" applyNumberFormat="1" applyFont="1" applyFill="1" applyBorder="1"/>
    <xf numFmtId="0" fontId="0" fillId="7" borderId="4" xfId="1" applyNumberFormat="1" applyFont="1" applyFill="1" applyBorder="1"/>
    <xf numFmtId="0" fontId="0" fillId="8" borderId="4" xfId="1" applyNumberFormat="1" applyFont="1" applyFill="1" applyBorder="1"/>
    <xf numFmtId="0" fontId="0" fillId="9" borderId="4" xfId="1" applyNumberFormat="1" applyFont="1" applyFill="1" applyBorder="1"/>
    <xf numFmtId="0" fontId="2" fillId="5" borderId="5" xfId="1" applyNumberFormat="1" applyFont="1" applyFill="1" applyBorder="1"/>
    <xf numFmtId="1" fontId="0" fillId="0" borderId="4" xfId="1" applyNumberFormat="1" applyFont="1" applyFill="1" applyBorder="1"/>
    <xf numFmtId="1" fontId="2" fillId="5" borderId="5" xfId="1" applyNumberFormat="1" applyFont="1" applyFill="1" applyBorder="1"/>
    <xf numFmtId="1" fontId="0" fillId="0" borderId="0" xfId="1" applyNumberFormat="1" applyFont="1" applyFill="1" applyBorder="1"/>
    <xf numFmtId="1" fontId="4" fillId="6" borderId="3" xfId="1" applyNumberFormat="1" applyFont="1" applyFill="1" applyBorder="1" applyAlignment="1">
      <alignment horizontal="center"/>
    </xf>
    <xf numFmtId="1" fontId="0" fillId="7" borderId="4" xfId="1" applyNumberFormat="1" applyFont="1" applyFill="1" applyBorder="1"/>
    <xf numFmtId="1" fontId="0" fillId="8" borderId="4" xfId="1" applyNumberFormat="1" applyFont="1" applyFill="1" applyBorder="1"/>
    <xf numFmtId="1" fontId="0" fillId="9" borderId="4" xfId="1" applyNumberFormat="1" applyFont="1" applyFill="1" applyBorder="1"/>
    <xf numFmtId="164" fontId="0" fillId="0" borderId="4" xfId="1" applyNumberFormat="1" applyFont="1" applyFill="1" applyBorder="1"/>
    <xf numFmtId="164" fontId="2" fillId="5" borderId="5" xfId="1" applyNumberFormat="1" applyFont="1" applyFill="1" applyBorder="1"/>
    <xf numFmtId="164" fontId="0" fillId="0" borderId="0" xfId="1" applyNumberFormat="1" applyFont="1" applyFill="1" applyBorder="1"/>
    <xf numFmtId="164" fontId="4" fillId="6" borderId="3" xfId="1" applyNumberFormat="1" applyFont="1" applyFill="1" applyBorder="1" applyAlignment="1">
      <alignment horizontal="center"/>
    </xf>
    <xf numFmtId="164" fontId="0" fillId="7" borderId="4" xfId="1" applyNumberFormat="1" applyFont="1" applyFill="1" applyBorder="1"/>
    <xf numFmtId="164" fontId="0" fillId="8" borderId="4" xfId="1" applyNumberFormat="1" applyFont="1" applyFill="1" applyBorder="1"/>
    <xf numFmtId="164" fontId="0" fillId="9" borderId="4" xfId="1" applyNumberFormat="1" applyFont="1" applyFill="1" applyBorder="1"/>
    <xf numFmtId="0" fontId="6" fillId="10" borderId="6" xfId="1" applyNumberFormat="1" applyFont="1" applyFill="1" applyBorder="1"/>
    <xf numFmtId="165" fontId="6" fillId="10" borderId="6" xfId="1" applyNumberFormat="1" applyFont="1" applyFill="1" applyBorder="1"/>
    <xf numFmtId="165" fontId="0" fillId="7" borderId="4" xfId="1" applyNumberFormat="1" applyFont="1" applyFill="1" applyBorder="1"/>
    <xf numFmtId="165" fontId="0" fillId="8" borderId="4" xfId="1" applyNumberFormat="1" applyFont="1" applyFill="1" applyBorder="1"/>
    <xf numFmtId="165" fontId="0" fillId="9" borderId="4" xfId="1" applyNumberFormat="1" applyFont="1" applyFill="1" applyBorder="1"/>
    <xf numFmtId="165" fontId="2" fillId="5" borderId="5" xfId="1" applyNumberFormat="1" applyFont="1" applyFill="1" applyBorder="1"/>
    <xf numFmtId="0" fontId="0" fillId="0" borderId="0" xfId="1" applyNumberFormat="1" applyFont="1" applyFill="1" applyBorder="1" applyAlignment="1">
      <alignment vertical="center"/>
    </xf>
    <xf numFmtId="164" fontId="0" fillId="0" borderId="0" xfId="1" applyNumberFormat="1" applyFont="1" applyFill="1" applyBorder="1" applyAlignment="1">
      <alignment vertical="center"/>
    </xf>
    <xf numFmtId="166" fontId="0" fillId="0" borderId="0" xfId="1" applyNumberFormat="1" applyFont="1" applyFill="1" applyBorder="1" applyAlignment="1">
      <alignment vertical="center"/>
    </xf>
    <xf numFmtId="165" fontId="0" fillId="0" borderId="0" xfId="1" applyNumberFormat="1" applyFont="1" applyFill="1" applyBorder="1" applyAlignment="1">
      <alignment vertical="center"/>
    </xf>
    <xf numFmtId="0" fontId="0" fillId="0" borderId="0" xfId="1" applyNumberFormat="1" applyFont="1" applyFill="1" applyBorder="1"/>
    <xf numFmtId="0" fontId="4" fillId="12" borderId="3" xfId="1" applyNumberFormat="1" applyFont="1" applyFill="1" applyBorder="1" applyAlignment="1">
      <alignment horizontal="center" vertical="center" wrapText="1"/>
    </xf>
    <xf numFmtId="0" fontId="0" fillId="13" borderId="4" xfId="1" applyNumberFormat="1" applyFont="1" applyFill="1" applyBorder="1" applyAlignment="1">
      <alignment vertical="center"/>
    </xf>
    <xf numFmtId="164" fontId="0" fillId="13" borderId="4" xfId="1" applyNumberFormat="1" applyFont="1" applyFill="1" applyBorder="1" applyAlignment="1">
      <alignment vertical="center"/>
    </xf>
    <xf numFmtId="166" fontId="0" fillId="13" borderId="4" xfId="1" applyNumberFormat="1" applyFont="1" applyFill="1" applyBorder="1" applyAlignment="1">
      <alignment vertical="center"/>
    </xf>
    <xf numFmtId="165" fontId="0" fillId="13" borderId="4" xfId="1" applyNumberFormat="1" applyFont="1" applyFill="1" applyBorder="1" applyAlignment="1">
      <alignment vertical="center"/>
    </xf>
    <xf numFmtId="0" fontId="2" fillId="15" borderId="7" xfId="1" applyNumberFormat="1" applyFont="1" applyFill="1" applyBorder="1" applyAlignment="1">
      <alignment vertical="center"/>
    </xf>
    <xf numFmtId="164" fontId="2" fillId="15" borderId="7" xfId="1" applyNumberFormat="1" applyFont="1" applyFill="1" applyBorder="1" applyAlignment="1">
      <alignment vertical="center"/>
    </xf>
    <xf numFmtId="166" fontId="2" fillId="15" borderId="7" xfId="1" applyNumberFormat="1" applyFont="1" applyFill="1" applyBorder="1" applyAlignment="1">
      <alignment vertical="center"/>
    </xf>
    <xf numFmtId="165" fontId="2" fillId="15" borderId="7" xfId="1" applyNumberFormat="1" applyFont="1" applyFill="1" applyBorder="1" applyAlignment="1">
      <alignment vertical="center"/>
    </xf>
    <xf numFmtId="0" fontId="0" fillId="14" borderId="4" xfId="1" applyNumberFormat="1" applyFont="1" applyFill="1" applyBorder="1" applyAlignment="1">
      <alignment vertical="center"/>
    </xf>
    <xf numFmtId="164" fontId="0" fillId="14" borderId="4" xfId="1" applyNumberFormat="1" applyFont="1" applyFill="1" applyBorder="1" applyAlignment="1">
      <alignment vertical="center"/>
    </xf>
    <xf numFmtId="166" fontId="0" fillId="14" borderId="4" xfId="1" applyNumberFormat="1" applyFont="1" applyFill="1" applyBorder="1" applyAlignment="1">
      <alignment vertical="center"/>
    </xf>
    <xf numFmtId="165" fontId="0" fillId="14" borderId="4" xfId="1" applyNumberFormat="1" applyFont="1" applyFill="1" applyBorder="1" applyAlignment="1">
      <alignment vertical="center"/>
    </xf>
    <xf numFmtId="0" fontId="2" fillId="16" borderId="8" xfId="1" applyNumberFormat="1" applyFont="1" applyFill="1" applyBorder="1" applyAlignment="1">
      <alignment vertical="center"/>
    </xf>
    <xf numFmtId="164" fontId="2" fillId="16" borderId="8" xfId="1" applyNumberFormat="1" applyFont="1" applyFill="1" applyBorder="1" applyAlignment="1">
      <alignment vertical="center"/>
    </xf>
    <xf numFmtId="166" fontId="2" fillId="16" borderId="8" xfId="1" applyNumberFormat="1" applyFont="1" applyFill="1" applyBorder="1" applyAlignment="1">
      <alignment vertical="center"/>
    </xf>
    <xf numFmtId="165" fontId="2" fillId="16" borderId="8" xfId="1" applyNumberFormat="1" applyFont="1" applyFill="1" applyBorder="1" applyAlignment="1">
      <alignment vertical="center"/>
    </xf>
    <xf numFmtId="0" fontId="2" fillId="17" borderId="6" xfId="1" applyNumberFormat="1" applyFont="1" applyFill="1" applyBorder="1" applyAlignment="1">
      <alignment vertical="center"/>
    </xf>
    <xf numFmtId="165" fontId="2" fillId="17" borderId="6" xfId="1" applyNumberFormat="1" applyFont="1" applyFill="1" applyBorder="1" applyAlignment="1">
      <alignment vertical="center"/>
    </xf>
    <xf numFmtId="0" fontId="6" fillId="18" borderId="6" xfId="1" applyNumberFormat="1" applyFont="1" applyFill="1" applyBorder="1" applyAlignment="1">
      <alignment vertical="center"/>
    </xf>
    <xf numFmtId="165" fontId="6" fillId="18" borderId="6" xfId="1" applyNumberFormat="1" applyFont="1" applyFill="1" applyBorder="1" applyAlignment="1">
      <alignment vertical="center"/>
    </xf>
    <xf numFmtId="0" fontId="4" fillId="2" borderId="0" xfId="1" applyNumberFormat="1" applyFont="1" applyFill="1" applyBorder="1" applyAlignment="1">
      <alignment horizontal="center"/>
    </xf>
    <xf numFmtId="1" fontId="4" fillId="2" borderId="0" xfId="1" applyNumberFormat="1" applyFont="1" applyFill="1" applyBorder="1" applyAlignment="1">
      <alignment horizontal="center"/>
    </xf>
    <xf numFmtId="164" fontId="4" fillId="2" borderId="0" xfId="1" applyNumberFormat="1" applyFont="1" applyFill="1" applyBorder="1" applyAlignment="1">
      <alignment horizontal="center"/>
    </xf>
    <xf numFmtId="0" fontId="0" fillId="0" borderId="0" xfId="1" applyNumberFormat="1" applyFont="1" applyFill="1" applyBorder="1"/>
    <xf numFmtId="0" fontId="4" fillId="11" borderId="0" xfId="1" applyNumberFormat="1" applyFont="1" applyFill="1" applyBorder="1" applyAlignment="1">
      <alignment horizontal="center"/>
    </xf>
    <xf numFmtId="0" fontId="5" fillId="19" borderId="0" xfId="1" applyNumberFormat="1" applyFont="1" applyFill="1" applyBorder="1" applyAlignment="1">
      <alignment wrapText="1"/>
    </xf>
    <xf numFmtId="0" fontId="1" fillId="2" borderId="0" xfId="1" applyNumberFormat="1" applyFont="1" applyFill="1" applyBorder="1" applyAlignment="1">
      <alignment horizontal="center"/>
    </xf>
    <xf numFmtId="0" fontId="3" fillId="2" borderId="0" xfId="1" applyNumberFormat="1" applyFont="1" applyFill="1" applyBorder="1" applyAlignment="1">
      <alignment horizontal="center"/>
    </xf>
    <xf numFmtId="0" fontId="2" fillId="4" borderId="1" xfId="1" applyNumberFormat="1" applyFont="1" applyFill="1" applyBorder="1"/>
    <xf numFmtId="0" fontId="0" fillId="4" borderId="1" xfId="1" applyNumberFormat="1" applyFont="1" applyFill="1" applyBorder="1"/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showGridLines="0" tabSelected="1" topLeftCell="A3" zoomScale="85" zoomScaleNormal="85" workbookViewId="0">
      <selection sqref="A1:E1"/>
    </sheetView>
  </sheetViews>
  <sheetFormatPr defaultRowHeight="15" x14ac:dyDescent="0.25"/>
  <cols>
    <col min="1" max="1" width="24" customWidth="1"/>
    <col min="2" max="2" width="20" customWidth="1"/>
    <col min="3" max="3" width="15" customWidth="1"/>
    <col min="4" max="6" width="16" customWidth="1"/>
    <col min="7" max="7" width="18" customWidth="1"/>
  </cols>
  <sheetData>
    <row r="1" spans="1:7" x14ac:dyDescent="0.25">
      <c r="A1" s="72" t="s">
        <v>0</v>
      </c>
      <c r="B1" s="72"/>
      <c r="C1" s="72"/>
      <c r="D1" s="72"/>
      <c r="E1" s="75"/>
      <c r="F1" s="50"/>
      <c r="G1" s="50"/>
    </row>
    <row r="2" spans="1:7" x14ac:dyDescent="0.25">
      <c r="A2" s="50"/>
      <c r="B2" s="50"/>
      <c r="C2" s="50"/>
      <c r="D2" s="50"/>
      <c r="E2" s="50"/>
      <c r="F2" s="50"/>
      <c r="G2" s="50"/>
    </row>
    <row r="3" spans="1:7" x14ac:dyDescent="0.25">
      <c r="A3" s="20" t="s">
        <v>1</v>
      </c>
      <c r="B3" s="20" t="s">
        <v>2</v>
      </c>
      <c r="C3" s="20" t="s">
        <v>3</v>
      </c>
      <c r="D3" s="20" t="s">
        <v>4</v>
      </c>
      <c r="E3" s="50"/>
      <c r="F3" s="50"/>
      <c r="G3" s="50"/>
    </row>
    <row r="4" spans="1:7" x14ac:dyDescent="0.25">
      <c r="A4" s="21" t="s">
        <v>5</v>
      </c>
      <c r="B4" s="26">
        <v>22</v>
      </c>
      <c r="C4" s="26">
        <f>'6010-R90B'!B5</f>
        <v>35</v>
      </c>
      <c r="D4" s="33">
        <f>'6010-R90B'!B6</f>
        <v>11.903931999999999</v>
      </c>
      <c r="E4" s="50"/>
      <c r="F4" s="50"/>
      <c r="G4" s="50"/>
    </row>
    <row r="5" spans="1:7" x14ac:dyDescent="0.25">
      <c r="A5" s="21" t="s">
        <v>6</v>
      </c>
      <c r="B5" s="26">
        <v>11</v>
      </c>
      <c r="C5" s="26">
        <f>'1000-N'!B5</f>
        <v>21</v>
      </c>
      <c r="D5" s="33">
        <f>'1000-N'!B6</f>
        <v>5.7749139999999999</v>
      </c>
      <c r="E5" s="50"/>
      <c r="F5" s="50"/>
      <c r="G5" s="50"/>
    </row>
    <row r="6" spans="1:7" x14ac:dyDescent="0.25">
      <c r="A6" s="25" t="s">
        <v>7</v>
      </c>
      <c r="B6" s="27">
        <v>33</v>
      </c>
      <c r="C6" s="27">
        <f>SUM(C4:C5)</f>
        <v>56</v>
      </c>
      <c r="D6" s="34">
        <f>SUM(D4:D5)</f>
        <v>17.678846</v>
      </c>
      <c r="E6" s="50"/>
      <c r="F6" s="50"/>
      <c r="G6" s="50"/>
    </row>
    <row r="7" spans="1:7" x14ac:dyDescent="0.25">
      <c r="A7" s="50"/>
      <c r="B7" s="28"/>
      <c r="C7" s="28"/>
      <c r="D7" s="35"/>
      <c r="E7" s="50"/>
      <c r="F7" s="50"/>
      <c r="G7" s="50"/>
    </row>
    <row r="8" spans="1:7" x14ac:dyDescent="0.25">
      <c r="A8" s="72" t="s">
        <v>8</v>
      </c>
      <c r="B8" s="73"/>
      <c r="C8" s="73"/>
      <c r="D8" s="74"/>
      <c r="E8" s="50"/>
      <c r="F8" s="50"/>
      <c r="G8" s="50"/>
    </row>
    <row r="9" spans="1:7" x14ac:dyDescent="0.25">
      <c r="A9" s="20" t="s">
        <v>9</v>
      </c>
      <c r="B9" s="29" t="s">
        <v>2</v>
      </c>
      <c r="C9" s="29" t="s">
        <v>3</v>
      </c>
      <c r="D9" s="36" t="s">
        <v>4</v>
      </c>
      <c r="E9" s="50"/>
      <c r="F9" s="50"/>
      <c r="G9" s="50"/>
    </row>
    <row r="10" spans="1:7" x14ac:dyDescent="0.25">
      <c r="A10" s="22" t="s">
        <v>10</v>
      </c>
      <c r="B10" s="30">
        <f>COUNTIF('6010-R90B'!B9:B30,"Выборка")+COUNTIF('1000-N'!B9:B19,"Выборка")</f>
        <v>15</v>
      </c>
      <c r="C10" s="30">
        <f>SUMIF('6010-R90B'!B9:B30,"Выборка",'6010-R90B'!F9:F30)+SUMIF('1000-N'!B9:B19,"Выборка",'1000-N'!F9:F19)</f>
        <v>32</v>
      </c>
      <c r="D10" s="37">
        <f>SUMIF('6010-R90B'!B9:B30,"Выборка",'6010-R90B'!H9:H30)+SUMIF('1000-N'!B9:B19,"Выборка",'1000-N'!H9:H19)</f>
        <v>10.262790000000003</v>
      </c>
      <c r="E10" s="50"/>
      <c r="F10" s="50"/>
      <c r="G10" s="50"/>
    </row>
    <row r="11" spans="1:7" x14ac:dyDescent="0.25">
      <c r="A11" s="23" t="s">
        <v>11</v>
      </c>
      <c r="B11" s="31">
        <f>COUNTIF('6010-R90B'!B9:B30,"Модерн")+COUNTIF('1000-N'!B9:B19,"Модерн")</f>
        <v>16</v>
      </c>
      <c r="C11" s="31">
        <f>SUMIF('6010-R90B'!B9:B30,"Модерн",'6010-R90B'!F9:F30)+SUMIF('1000-N'!B9:B19,"Модерн",'1000-N'!F9:F19)</f>
        <v>18</v>
      </c>
      <c r="D11" s="38">
        <f>SUMIF('6010-R90B'!B9:B30,"Модерн",'6010-R90B'!H9:H30)+SUMIF('1000-N'!B9:B19,"Модерн",'1000-N'!H9:H19)</f>
        <v>4.2398120000000006</v>
      </c>
      <c r="E11" s="50"/>
      <c r="F11" s="50"/>
      <c r="G11" s="50"/>
    </row>
    <row r="12" spans="1:7" x14ac:dyDescent="0.25">
      <c r="A12" s="24" t="s">
        <v>12</v>
      </c>
      <c r="B12" s="32">
        <f>COUNTIF('6010-R90B'!B9:B30,"Витрина")+COUNTIF('1000-N'!B9:B19,"Витрина")</f>
        <v>2</v>
      </c>
      <c r="C12" s="32">
        <f>SUMIF('6010-R90B'!B9:B30,"Витрина",'6010-R90B'!F9:F30)+SUMIF('1000-N'!B9:B19,"Витрина",'1000-N'!F9:F19)</f>
        <v>6</v>
      </c>
      <c r="D12" s="39">
        <f>SUMIF('6010-R90B'!B9:B30,"Витрина",'6010-R90B'!H9:H30)+SUMIF('1000-N'!B9:B19,"Витрина",'1000-N'!H9:H19)</f>
        <v>3.1762440000000001</v>
      </c>
      <c r="E12" s="50"/>
      <c r="F12" s="50"/>
      <c r="G12" s="50"/>
    </row>
    <row r="13" spans="1:7" x14ac:dyDescent="0.25">
      <c r="A13" s="25" t="s">
        <v>7</v>
      </c>
      <c r="B13" s="27">
        <f>SUM(B10:B12)</f>
        <v>33</v>
      </c>
      <c r="C13" s="27">
        <f>SUM(C10:C12)</f>
        <v>56</v>
      </c>
      <c r="D13" s="34">
        <f>SUM(D10:D12)</f>
        <v>17.678846000000004</v>
      </c>
      <c r="E13" s="50"/>
      <c r="F13" s="50"/>
      <c r="G13" s="50"/>
    </row>
    <row r="14" spans="1:7" x14ac:dyDescent="0.25">
      <c r="A14" s="50"/>
      <c r="B14" s="50"/>
      <c r="C14" s="50"/>
      <c r="D14" s="50"/>
      <c r="E14" s="50"/>
      <c r="F14" s="50"/>
      <c r="G14" s="50"/>
    </row>
    <row r="15" spans="1:7" x14ac:dyDescent="0.25">
      <c r="A15" s="72" t="s">
        <v>13</v>
      </c>
      <c r="B15" s="72"/>
      <c r="C15" s="72"/>
      <c r="D15" s="72"/>
      <c r="E15" s="72"/>
      <c r="F15" s="50"/>
      <c r="G15" s="50"/>
    </row>
    <row r="16" spans="1:7" x14ac:dyDescent="0.25">
      <c r="A16" s="20" t="s">
        <v>9</v>
      </c>
      <c r="B16" s="20" t="s">
        <v>4</v>
      </c>
      <c r="C16" s="20" t="s">
        <v>14</v>
      </c>
      <c r="D16" s="20" t="s">
        <v>15</v>
      </c>
      <c r="E16" s="20" t="s">
        <v>16</v>
      </c>
      <c r="F16" s="50"/>
      <c r="G16" s="50"/>
    </row>
    <row r="17" spans="1:7" x14ac:dyDescent="0.25">
      <c r="A17" s="22" t="s">
        <v>17</v>
      </c>
      <c r="B17" s="37">
        <f>D10</f>
        <v>10.262790000000003</v>
      </c>
      <c r="C17" s="42">
        <v>33000</v>
      </c>
      <c r="D17" s="42">
        <f>B17*C17</f>
        <v>338672.07000000007</v>
      </c>
      <c r="E17" s="22" t="s">
        <v>18</v>
      </c>
      <c r="F17" s="50"/>
      <c r="G17" s="50"/>
    </row>
    <row r="18" spans="1:7" x14ac:dyDescent="0.25">
      <c r="A18" s="23" t="s">
        <v>11</v>
      </c>
      <c r="B18" s="38">
        <f>D11</f>
        <v>4.2398120000000006</v>
      </c>
      <c r="C18" s="43">
        <v>26000</v>
      </c>
      <c r="D18" s="43">
        <f>B18*C18</f>
        <v>110235.11200000001</v>
      </c>
      <c r="E18" s="23" t="s">
        <v>18</v>
      </c>
      <c r="F18" s="50"/>
      <c r="G18" s="50"/>
    </row>
    <row r="19" spans="1:7" x14ac:dyDescent="0.25">
      <c r="A19" s="24" t="s">
        <v>12</v>
      </c>
      <c r="B19" s="39">
        <f>D12</f>
        <v>3.1762440000000001</v>
      </c>
      <c r="C19" s="44">
        <v>35000</v>
      </c>
      <c r="D19" s="44">
        <f>B19*C19</f>
        <v>111168.54000000001</v>
      </c>
      <c r="E19" s="24" t="s">
        <v>18</v>
      </c>
      <c r="F19" s="50"/>
      <c r="G19" s="50"/>
    </row>
    <row r="20" spans="1:7" x14ac:dyDescent="0.25">
      <c r="A20" s="25" t="s">
        <v>19</v>
      </c>
      <c r="B20" s="25"/>
      <c r="C20" s="45"/>
      <c r="D20" s="45">
        <f>SUM(D17:D19)</f>
        <v>560075.72200000007</v>
      </c>
      <c r="E20" s="25" t="s">
        <v>20</v>
      </c>
      <c r="F20" s="50"/>
      <c r="G20" s="50"/>
    </row>
    <row r="21" spans="1:7" x14ac:dyDescent="0.25">
      <c r="A21" s="40" t="s">
        <v>21</v>
      </c>
      <c r="B21" s="40"/>
      <c r="C21" s="41"/>
      <c r="D21" s="41">
        <f>SUM(D17:D19)</f>
        <v>560075.72200000007</v>
      </c>
      <c r="E21" s="40" t="s">
        <v>18</v>
      </c>
      <c r="F21" s="50"/>
      <c r="G21" s="50"/>
    </row>
    <row r="22" spans="1:7" x14ac:dyDescent="0.25">
      <c r="A22" s="50"/>
      <c r="B22" s="50"/>
      <c r="C22" s="50"/>
      <c r="D22" s="50"/>
      <c r="E22" s="50"/>
      <c r="F22" s="50"/>
      <c r="G22" s="50"/>
    </row>
    <row r="23" spans="1:7" ht="26.1" customHeight="1" x14ac:dyDescent="0.25">
      <c r="A23" s="76" t="s">
        <v>22</v>
      </c>
      <c r="B23" s="76"/>
      <c r="C23" s="76"/>
      <c r="D23" s="76"/>
      <c r="E23" s="76"/>
      <c r="F23" s="76"/>
      <c r="G23" s="76"/>
    </row>
    <row r="24" spans="1:7" ht="21.95" customHeight="1" x14ac:dyDescent="0.25">
      <c r="A24" s="51" t="s">
        <v>23</v>
      </c>
      <c r="B24" s="51" t="s">
        <v>24</v>
      </c>
      <c r="C24" s="51" t="s">
        <v>4</v>
      </c>
      <c r="D24" s="51" t="s">
        <v>25</v>
      </c>
      <c r="E24" s="51" t="s">
        <v>26</v>
      </c>
      <c r="F24" s="51" t="s">
        <v>27</v>
      </c>
      <c r="G24" s="51" t="s">
        <v>28</v>
      </c>
    </row>
    <row r="25" spans="1:7" ht="21.95" customHeight="1" x14ac:dyDescent="0.25">
      <c r="A25" s="52" t="s">
        <v>29</v>
      </c>
      <c r="B25" s="52" t="s">
        <v>11</v>
      </c>
      <c r="C25" s="53">
        <f>D11</f>
        <v>4.2398120000000006</v>
      </c>
      <c r="D25" s="54">
        <v>0.3</v>
      </c>
      <c r="E25" s="54">
        <f>C25*D25</f>
        <v>1.2719436000000002</v>
      </c>
      <c r="F25" s="55">
        <v>12000</v>
      </c>
      <c r="G25" s="55">
        <f>E25*F25</f>
        <v>15263.323200000003</v>
      </c>
    </row>
    <row r="26" spans="1:7" ht="21.95" customHeight="1" x14ac:dyDescent="0.25">
      <c r="A26" s="52" t="s">
        <v>29</v>
      </c>
      <c r="B26" s="52" t="s">
        <v>17</v>
      </c>
      <c r="C26" s="53">
        <f>D10</f>
        <v>10.262790000000003</v>
      </c>
      <c r="D26" s="54">
        <v>0.3</v>
      </c>
      <c r="E26" s="54">
        <f>C26*D26</f>
        <v>3.0788370000000005</v>
      </c>
      <c r="F26" s="55">
        <v>12000</v>
      </c>
      <c r="G26" s="55">
        <f>E26*F26</f>
        <v>36946.044000000009</v>
      </c>
    </row>
    <row r="27" spans="1:7" ht="21.95" customHeight="1" x14ac:dyDescent="0.25">
      <c r="A27" s="52" t="s">
        <v>29</v>
      </c>
      <c r="B27" s="52" t="s">
        <v>12</v>
      </c>
      <c r="C27" s="53">
        <f>D12</f>
        <v>3.1762440000000001</v>
      </c>
      <c r="D27" s="54">
        <v>0.3</v>
      </c>
      <c r="E27" s="54">
        <f>C27*D27</f>
        <v>0.95287319999999998</v>
      </c>
      <c r="F27" s="55">
        <v>12000</v>
      </c>
      <c r="G27" s="55">
        <f>E27*F27</f>
        <v>11434.4784</v>
      </c>
    </row>
    <row r="28" spans="1:7" ht="21.95" customHeight="1" x14ac:dyDescent="0.25">
      <c r="A28" s="56" t="s">
        <v>30</v>
      </c>
      <c r="B28" s="56"/>
      <c r="C28" s="57">
        <f>SUM(C25:C27)</f>
        <v>17.678846000000004</v>
      </c>
      <c r="D28" s="58"/>
      <c r="E28" s="58">
        <f>SUM(E25:E27)</f>
        <v>5.3036538000000002</v>
      </c>
      <c r="F28" s="59"/>
      <c r="G28" s="59">
        <f>SUM(G25:G27)</f>
        <v>63643.845600000008</v>
      </c>
    </row>
    <row r="29" spans="1:7" ht="21.95" customHeight="1" x14ac:dyDescent="0.25">
      <c r="A29" s="46"/>
      <c r="B29" s="46"/>
      <c r="C29" s="47"/>
      <c r="D29" s="48"/>
      <c r="E29" s="48"/>
      <c r="F29" s="49"/>
      <c r="G29" s="49"/>
    </row>
    <row r="30" spans="1:7" ht="21.95" customHeight="1" x14ac:dyDescent="0.25">
      <c r="A30" s="60" t="s">
        <v>31</v>
      </c>
      <c r="B30" s="60" t="s">
        <v>11</v>
      </c>
      <c r="C30" s="61">
        <f>D11</f>
        <v>4.2398120000000006</v>
      </c>
      <c r="D30" s="62">
        <v>0.3</v>
      </c>
      <c r="E30" s="62">
        <f>C30*D30</f>
        <v>1.2719436000000002</v>
      </c>
      <c r="F30" s="63">
        <v>5000</v>
      </c>
      <c r="G30" s="63">
        <f>E30*F30</f>
        <v>6359.7180000000008</v>
      </c>
    </row>
    <row r="31" spans="1:7" ht="21.95" customHeight="1" x14ac:dyDescent="0.25">
      <c r="A31" s="60" t="s">
        <v>31</v>
      </c>
      <c r="B31" s="60" t="s">
        <v>17</v>
      </c>
      <c r="C31" s="61">
        <f>D10</f>
        <v>10.262790000000003</v>
      </c>
      <c r="D31" s="62">
        <v>0.6</v>
      </c>
      <c r="E31" s="62">
        <f>C31*D31</f>
        <v>6.157674000000001</v>
      </c>
      <c r="F31" s="63">
        <v>5000</v>
      </c>
      <c r="G31" s="63">
        <f>E31*F31</f>
        <v>30788.370000000006</v>
      </c>
    </row>
    <row r="32" spans="1:7" ht="21.95" customHeight="1" x14ac:dyDescent="0.25">
      <c r="A32" s="60" t="s">
        <v>31</v>
      </c>
      <c r="B32" s="60" t="s">
        <v>12</v>
      </c>
      <c r="C32" s="61">
        <f>D12</f>
        <v>3.1762440000000001</v>
      </c>
      <c r="D32" s="62">
        <v>0.6</v>
      </c>
      <c r="E32" s="62">
        <f>C32*D32</f>
        <v>1.9057464</v>
      </c>
      <c r="F32" s="63">
        <v>5000</v>
      </c>
      <c r="G32" s="63">
        <f>E32*F32</f>
        <v>9528.732</v>
      </c>
    </row>
    <row r="33" spans="1:7" ht="21.95" customHeight="1" x14ac:dyDescent="0.25">
      <c r="A33" s="64" t="s">
        <v>32</v>
      </c>
      <c r="B33" s="64"/>
      <c r="C33" s="65">
        <f>SUM(C30:C32)</f>
        <v>17.678846000000004</v>
      </c>
      <c r="D33" s="64"/>
      <c r="E33" s="66">
        <f>SUM(E30:E32)</f>
        <v>9.335364000000002</v>
      </c>
      <c r="F33" s="67"/>
      <c r="G33" s="67">
        <f>SUM(G30:G32)</f>
        <v>46676.820000000007</v>
      </c>
    </row>
    <row r="34" spans="1:7" ht="21.95" customHeight="1" x14ac:dyDescent="0.25">
      <c r="A34" s="46"/>
      <c r="B34" s="46"/>
      <c r="C34" s="46"/>
      <c r="D34" s="46"/>
      <c r="E34" s="46"/>
      <c r="F34" s="49"/>
      <c r="G34" s="49"/>
    </row>
    <row r="35" spans="1:7" ht="21.95" customHeight="1" x14ac:dyDescent="0.25">
      <c r="A35" s="68" t="s">
        <v>33</v>
      </c>
      <c r="B35" s="68"/>
      <c r="C35" s="68"/>
      <c r="D35" s="68"/>
      <c r="E35" s="68"/>
      <c r="F35" s="69"/>
      <c r="G35" s="69">
        <f>G28+G33</f>
        <v>110320.66560000001</v>
      </c>
    </row>
    <row r="36" spans="1:7" ht="21.95" customHeight="1" x14ac:dyDescent="0.25">
      <c r="A36" s="70" t="s">
        <v>34</v>
      </c>
      <c r="B36" s="70"/>
      <c r="C36" s="70"/>
      <c r="D36" s="70"/>
      <c r="E36" s="70"/>
      <c r="F36" s="71"/>
      <c r="G36" s="71">
        <f>D21+G35</f>
        <v>670396.38760000002</v>
      </c>
    </row>
    <row r="37" spans="1:7" x14ac:dyDescent="0.25">
      <c r="A37" s="50"/>
      <c r="B37" s="50"/>
      <c r="C37" s="50"/>
      <c r="D37" s="50"/>
      <c r="E37" s="50"/>
      <c r="F37" s="50"/>
      <c r="G37" s="50"/>
    </row>
    <row r="38" spans="1:7" ht="27.95" customHeight="1" x14ac:dyDescent="0.25">
      <c r="A38" s="77" t="s">
        <v>35</v>
      </c>
      <c r="B38" s="77"/>
      <c r="C38" s="77"/>
      <c r="D38" s="77"/>
      <c r="E38" s="77"/>
      <c r="F38" s="77"/>
      <c r="G38" s="77"/>
    </row>
    <row r="39" spans="1:7" ht="27.95" customHeight="1" x14ac:dyDescent="0.25">
      <c r="A39" s="77" t="s">
        <v>36</v>
      </c>
      <c r="B39" s="77"/>
      <c r="C39" s="77"/>
      <c r="D39" s="77"/>
      <c r="E39" s="77"/>
      <c r="F39" s="77"/>
      <c r="G39" s="77"/>
    </row>
    <row r="40" spans="1:7" ht="27.95" customHeight="1" x14ac:dyDescent="0.25">
      <c r="A40" s="77" t="s">
        <v>37</v>
      </c>
      <c r="B40" s="77"/>
      <c r="C40" s="77"/>
      <c r="D40" s="77"/>
      <c r="E40" s="77"/>
      <c r="F40" s="77"/>
      <c r="G40" s="77"/>
    </row>
  </sheetData>
  <mergeCells count="7">
    <mergeCell ref="A39:G39"/>
    <mergeCell ref="A40:G40"/>
    <mergeCell ref="A8:D8"/>
    <mergeCell ref="A1:E1"/>
    <mergeCell ref="A15:E15"/>
    <mergeCell ref="A23:G23"/>
    <mergeCell ref="A38:G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showGridLines="0" workbookViewId="0"/>
  </sheetViews>
  <sheetFormatPr defaultRowHeight="15" x14ac:dyDescent="0.25"/>
  <cols>
    <col min="1" max="1" width="18" customWidth="1"/>
    <col min="2" max="2" width="16" customWidth="1"/>
    <col min="3" max="5" width="13" customWidth="1"/>
    <col min="6" max="6" width="12" customWidth="1"/>
    <col min="7" max="8" width="14" customWidth="1"/>
    <col min="9" max="9" width="52" customWidth="1"/>
  </cols>
  <sheetData>
    <row r="1" spans="1:9" ht="21" x14ac:dyDescent="0.35">
      <c r="A1" s="78" t="s">
        <v>38</v>
      </c>
      <c r="B1" s="78"/>
      <c r="C1" s="78"/>
      <c r="D1" s="78"/>
      <c r="E1" s="78"/>
      <c r="F1" s="78"/>
      <c r="G1" s="78"/>
      <c r="H1" s="78"/>
      <c r="I1" s="78"/>
    </row>
    <row r="2" spans="1:9" ht="15.75" x14ac:dyDescent="0.25">
      <c r="D2" s="79" t="s">
        <v>39</v>
      </c>
      <c r="E2" s="79"/>
      <c r="F2" s="79"/>
      <c r="G2" s="79"/>
      <c r="H2" s="79"/>
    </row>
    <row r="3" spans="1:9" x14ac:dyDescent="0.25">
      <c r="A3" s="1" t="s">
        <v>23</v>
      </c>
      <c r="B3" s="1" t="s">
        <v>40</v>
      </c>
      <c r="D3" s="80" t="s">
        <v>41</v>
      </c>
      <c r="E3" s="81"/>
      <c r="F3" s="81"/>
      <c r="G3" s="81"/>
      <c r="H3" s="4">
        <f>'Общий итог'!C6</f>
        <v>56</v>
      </c>
    </row>
    <row r="4" spans="1:9" x14ac:dyDescent="0.25">
      <c r="A4" s="1" t="s">
        <v>42</v>
      </c>
      <c r="B4" s="1" t="s">
        <v>43</v>
      </c>
      <c r="D4" s="80" t="s">
        <v>44</v>
      </c>
      <c r="E4" s="81"/>
      <c r="F4" s="81"/>
      <c r="G4" s="81"/>
      <c r="H4" s="5">
        <f>'Общий итог'!D6</f>
        <v>17.678846</v>
      </c>
    </row>
    <row r="5" spans="1:9" x14ac:dyDescent="0.25">
      <c r="A5" s="2" t="s">
        <v>45</v>
      </c>
      <c r="B5" s="2">
        <f>SUM(F9:F30)</f>
        <v>35</v>
      </c>
      <c r="D5" s="80" t="s">
        <v>46</v>
      </c>
      <c r="E5" s="81"/>
      <c r="F5" s="81"/>
      <c r="G5" s="81"/>
      <c r="H5" s="5">
        <f>'Общий итог'!D10</f>
        <v>10.262790000000003</v>
      </c>
    </row>
    <row r="6" spans="1:9" x14ac:dyDescent="0.25">
      <c r="A6" s="2" t="s">
        <v>47</v>
      </c>
      <c r="B6" s="2">
        <f>SUM(H9:H30)</f>
        <v>11.903931999999999</v>
      </c>
      <c r="D6" s="80" t="s">
        <v>48</v>
      </c>
      <c r="E6" s="81"/>
      <c r="F6" s="81"/>
      <c r="G6" s="81"/>
      <c r="H6" s="5">
        <f>'Общий итог'!D11</f>
        <v>4.2398120000000006</v>
      </c>
    </row>
    <row r="7" spans="1:9" x14ac:dyDescent="0.25">
      <c r="D7" s="80" t="s">
        <v>49</v>
      </c>
      <c r="E7" s="81"/>
      <c r="F7" s="81"/>
      <c r="G7" s="81"/>
      <c r="H7" s="5">
        <f>'Общий итог'!D12</f>
        <v>3.1762440000000001</v>
      </c>
    </row>
    <row r="8" spans="1:9" ht="30" customHeight="1" x14ac:dyDescent="0.25">
      <c r="A8" s="6" t="s">
        <v>50</v>
      </c>
      <c r="B8" s="6" t="s">
        <v>9</v>
      </c>
      <c r="C8" s="6" t="s">
        <v>51</v>
      </c>
      <c r="D8" s="6" t="s">
        <v>52</v>
      </c>
      <c r="E8" s="6" t="s">
        <v>53</v>
      </c>
      <c r="F8" s="6" t="s">
        <v>54</v>
      </c>
      <c r="G8" s="6" t="s">
        <v>55</v>
      </c>
      <c r="H8" s="6" t="s">
        <v>56</v>
      </c>
      <c r="I8" s="6" t="s">
        <v>57</v>
      </c>
    </row>
    <row r="9" spans="1:9" ht="30" customHeight="1" x14ac:dyDescent="0.25">
      <c r="A9" s="7">
        <v>1</v>
      </c>
      <c r="B9" s="7" t="s">
        <v>58</v>
      </c>
      <c r="C9" s="8">
        <v>608</v>
      </c>
      <c r="D9" s="8">
        <v>598</v>
      </c>
      <c r="E9" s="8">
        <v>16</v>
      </c>
      <c r="F9" s="8">
        <v>4</v>
      </c>
      <c r="G9" s="9">
        <f t="shared" ref="G9:G30" si="0">C9*D9/1000000</f>
        <v>0.36358400000000002</v>
      </c>
      <c r="H9" s="9">
        <f t="shared" ref="H9:H30" si="1">G9*F9</f>
        <v>1.4543360000000001</v>
      </c>
      <c r="I9" s="16"/>
    </row>
    <row r="10" spans="1:9" ht="30" customHeight="1" x14ac:dyDescent="0.25">
      <c r="A10" s="7">
        <v>2</v>
      </c>
      <c r="B10" s="7" t="s">
        <v>58</v>
      </c>
      <c r="C10" s="8">
        <v>442</v>
      </c>
      <c r="D10" s="8">
        <v>598</v>
      </c>
      <c r="E10" s="8">
        <v>16</v>
      </c>
      <c r="F10" s="8">
        <v>1</v>
      </c>
      <c r="G10" s="9">
        <f t="shared" si="0"/>
        <v>0.264316</v>
      </c>
      <c r="H10" s="9">
        <f t="shared" si="1"/>
        <v>0.264316</v>
      </c>
      <c r="I10" s="16"/>
    </row>
    <row r="11" spans="1:9" ht="30" customHeight="1" x14ac:dyDescent="0.25">
      <c r="A11" s="7">
        <v>3</v>
      </c>
      <c r="B11" s="7" t="s">
        <v>58</v>
      </c>
      <c r="C11" s="8">
        <v>358</v>
      </c>
      <c r="D11" s="8">
        <v>598</v>
      </c>
      <c r="E11" s="8">
        <v>16</v>
      </c>
      <c r="F11" s="8">
        <v>1</v>
      </c>
      <c r="G11" s="9">
        <f t="shared" si="0"/>
        <v>0.214084</v>
      </c>
      <c r="H11" s="9">
        <f t="shared" si="1"/>
        <v>0.214084</v>
      </c>
      <c r="I11" s="16"/>
    </row>
    <row r="12" spans="1:9" ht="30" customHeight="1" x14ac:dyDescent="0.25">
      <c r="A12" s="7">
        <v>4</v>
      </c>
      <c r="B12" s="7" t="s">
        <v>58</v>
      </c>
      <c r="C12" s="8">
        <v>718</v>
      </c>
      <c r="D12" s="8">
        <v>598</v>
      </c>
      <c r="E12" s="8">
        <v>16</v>
      </c>
      <c r="F12" s="8">
        <v>2</v>
      </c>
      <c r="G12" s="9">
        <f t="shared" si="0"/>
        <v>0.42936400000000002</v>
      </c>
      <c r="H12" s="9">
        <f t="shared" si="1"/>
        <v>0.85872800000000005</v>
      </c>
      <c r="I12" s="16"/>
    </row>
    <row r="13" spans="1:9" ht="30" customHeight="1" x14ac:dyDescent="0.25">
      <c r="A13" s="7">
        <v>5</v>
      </c>
      <c r="B13" s="7" t="s">
        <v>58</v>
      </c>
      <c r="C13" s="8">
        <v>1068</v>
      </c>
      <c r="D13" s="8">
        <v>598</v>
      </c>
      <c r="E13" s="8">
        <v>16</v>
      </c>
      <c r="F13" s="8">
        <v>2</v>
      </c>
      <c r="G13" s="9">
        <f t="shared" si="0"/>
        <v>0.63866400000000001</v>
      </c>
      <c r="H13" s="9">
        <f t="shared" si="1"/>
        <v>1.277328</v>
      </c>
      <c r="I13" s="16"/>
    </row>
    <row r="14" spans="1:9" ht="30" customHeight="1" x14ac:dyDescent="0.25">
      <c r="A14" s="7">
        <v>6</v>
      </c>
      <c r="B14" s="7" t="s">
        <v>58</v>
      </c>
      <c r="C14" s="8">
        <v>1028</v>
      </c>
      <c r="D14" s="8">
        <v>598</v>
      </c>
      <c r="E14" s="8">
        <v>16</v>
      </c>
      <c r="F14" s="8">
        <v>1</v>
      </c>
      <c r="G14" s="9">
        <f t="shared" si="0"/>
        <v>0.61474399999999996</v>
      </c>
      <c r="H14" s="9">
        <f t="shared" si="1"/>
        <v>0.61474399999999996</v>
      </c>
      <c r="I14" s="16"/>
    </row>
    <row r="15" spans="1:9" ht="30" customHeight="1" x14ac:dyDescent="0.25">
      <c r="A15" s="7">
        <v>7</v>
      </c>
      <c r="B15" s="7" t="s">
        <v>58</v>
      </c>
      <c r="C15" s="8">
        <v>718</v>
      </c>
      <c r="D15" s="8">
        <v>198</v>
      </c>
      <c r="E15" s="8">
        <v>16</v>
      </c>
      <c r="F15" s="8">
        <v>2</v>
      </c>
      <c r="G15" s="9">
        <f t="shared" si="0"/>
        <v>0.14216400000000001</v>
      </c>
      <c r="H15" s="9">
        <f t="shared" si="1"/>
        <v>0.28432800000000003</v>
      </c>
      <c r="I15" s="16"/>
    </row>
    <row r="16" spans="1:9" ht="30" customHeight="1" x14ac:dyDescent="0.25">
      <c r="A16" s="7">
        <v>8</v>
      </c>
      <c r="B16" s="7" t="s">
        <v>58</v>
      </c>
      <c r="C16" s="8">
        <v>358</v>
      </c>
      <c r="D16" s="8">
        <v>858</v>
      </c>
      <c r="E16" s="8">
        <v>16</v>
      </c>
      <c r="F16" s="8">
        <v>1</v>
      </c>
      <c r="G16" s="9">
        <f t="shared" si="0"/>
        <v>0.30716399999999999</v>
      </c>
      <c r="H16" s="9">
        <f t="shared" si="1"/>
        <v>0.30716399999999999</v>
      </c>
      <c r="I16" s="16"/>
    </row>
    <row r="17" spans="1:9" ht="30" customHeight="1" x14ac:dyDescent="0.25">
      <c r="A17" s="7">
        <v>9</v>
      </c>
      <c r="B17" s="7" t="s">
        <v>58</v>
      </c>
      <c r="C17" s="8">
        <v>178</v>
      </c>
      <c r="D17" s="8">
        <v>858</v>
      </c>
      <c r="E17" s="8">
        <v>16</v>
      </c>
      <c r="F17" s="8">
        <v>2</v>
      </c>
      <c r="G17" s="9">
        <f t="shared" si="0"/>
        <v>0.152724</v>
      </c>
      <c r="H17" s="9">
        <f t="shared" si="1"/>
        <v>0.305448</v>
      </c>
      <c r="I17" s="16"/>
    </row>
    <row r="18" spans="1:9" ht="30" customHeight="1" x14ac:dyDescent="0.25">
      <c r="A18" s="10">
        <v>10</v>
      </c>
      <c r="B18" s="10" t="s">
        <v>11</v>
      </c>
      <c r="C18" s="11">
        <v>147</v>
      </c>
      <c r="D18" s="11">
        <v>200</v>
      </c>
      <c r="E18" s="11">
        <v>16</v>
      </c>
      <c r="F18" s="11">
        <v>1</v>
      </c>
      <c r="G18" s="12">
        <f t="shared" si="0"/>
        <v>2.9399999999999999E-2</v>
      </c>
      <c r="H18" s="12">
        <f t="shared" si="1"/>
        <v>2.9399999999999999E-2</v>
      </c>
      <c r="I18" s="17"/>
    </row>
    <row r="19" spans="1:9" ht="30" customHeight="1" x14ac:dyDescent="0.25">
      <c r="A19" s="10">
        <v>11</v>
      </c>
      <c r="B19" s="10" t="s">
        <v>11</v>
      </c>
      <c r="C19" s="11">
        <v>147</v>
      </c>
      <c r="D19" s="11">
        <v>2510</v>
      </c>
      <c r="E19" s="11">
        <v>16</v>
      </c>
      <c r="F19" s="11">
        <v>1</v>
      </c>
      <c r="G19" s="12">
        <f t="shared" si="0"/>
        <v>0.36897000000000002</v>
      </c>
      <c r="H19" s="12">
        <f t="shared" si="1"/>
        <v>0.36897000000000002</v>
      </c>
      <c r="I19" s="17"/>
    </row>
    <row r="20" spans="1:9" ht="30" customHeight="1" x14ac:dyDescent="0.25">
      <c r="A20" s="10">
        <v>12</v>
      </c>
      <c r="B20" s="10" t="s">
        <v>11</v>
      </c>
      <c r="C20" s="11">
        <v>147</v>
      </c>
      <c r="D20" s="11">
        <v>700</v>
      </c>
      <c r="E20" s="11">
        <v>16</v>
      </c>
      <c r="F20" s="11">
        <v>1</v>
      </c>
      <c r="G20" s="12">
        <f t="shared" si="0"/>
        <v>0.10290000000000001</v>
      </c>
      <c r="H20" s="12">
        <f t="shared" si="1"/>
        <v>0.10290000000000001</v>
      </c>
      <c r="I20" s="17"/>
    </row>
    <row r="21" spans="1:9" ht="30" customHeight="1" x14ac:dyDescent="0.25">
      <c r="A21" s="10">
        <v>13</v>
      </c>
      <c r="B21" s="10" t="s">
        <v>11</v>
      </c>
      <c r="C21" s="11">
        <v>1680</v>
      </c>
      <c r="D21" s="11">
        <v>20</v>
      </c>
      <c r="E21" s="11">
        <v>16</v>
      </c>
      <c r="F21" s="11">
        <v>1</v>
      </c>
      <c r="G21" s="12">
        <f t="shared" si="0"/>
        <v>3.3599999999999998E-2</v>
      </c>
      <c r="H21" s="12">
        <f t="shared" si="1"/>
        <v>3.3599999999999998E-2</v>
      </c>
      <c r="I21" s="17"/>
    </row>
    <row r="22" spans="1:9" ht="30" customHeight="1" x14ac:dyDescent="0.25">
      <c r="A22" s="10">
        <v>14</v>
      </c>
      <c r="B22" s="10" t="s">
        <v>11</v>
      </c>
      <c r="C22" s="11">
        <v>105</v>
      </c>
      <c r="D22" s="11">
        <v>1300</v>
      </c>
      <c r="E22" s="11">
        <v>16</v>
      </c>
      <c r="F22" s="11">
        <v>1</v>
      </c>
      <c r="G22" s="12">
        <f t="shared" si="0"/>
        <v>0.13650000000000001</v>
      </c>
      <c r="H22" s="12">
        <f t="shared" si="1"/>
        <v>0.13650000000000001</v>
      </c>
      <c r="I22" s="17"/>
    </row>
    <row r="23" spans="1:9" ht="30" customHeight="1" x14ac:dyDescent="0.25">
      <c r="A23" s="10">
        <v>15</v>
      </c>
      <c r="B23" s="10" t="s">
        <v>11</v>
      </c>
      <c r="C23" s="11">
        <v>105</v>
      </c>
      <c r="D23" s="11">
        <v>1250</v>
      </c>
      <c r="E23" s="11">
        <v>16</v>
      </c>
      <c r="F23" s="11">
        <v>1</v>
      </c>
      <c r="G23" s="12">
        <f t="shared" si="0"/>
        <v>0.13125000000000001</v>
      </c>
      <c r="H23" s="12">
        <f t="shared" si="1"/>
        <v>0.13125000000000001</v>
      </c>
      <c r="I23" s="17"/>
    </row>
    <row r="24" spans="1:9" ht="30" customHeight="1" x14ac:dyDescent="0.25">
      <c r="A24" s="10">
        <v>16</v>
      </c>
      <c r="B24" s="10" t="s">
        <v>11</v>
      </c>
      <c r="C24" s="11">
        <v>105</v>
      </c>
      <c r="D24" s="11">
        <v>650</v>
      </c>
      <c r="E24" s="11">
        <v>16</v>
      </c>
      <c r="F24" s="11">
        <v>2</v>
      </c>
      <c r="G24" s="12">
        <f t="shared" si="0"/>
        <v>6.8250000000000005E-2</v>
      </c>
      <c r="H24" s="12">
        <f t="shared" si="1"/>
        <v>0.13650000000000001</v>
      </c>
      <c r="I24" s="17"/>
    </row>
    <row r="25" spans="1:9" ht="30" customHeight="1" x14ac:dyDescent="0.25">
      <c r="A25" s="10">
        <v>17</v>
      </c>
      <c r="B25" s="10" t="s">
        <v>11</v>
      </c>
      <c r="C25" s="11">
        <v>718</v>
      </c>
      <c r="D25" s="11">
        <v>44</v>
      </c>
      <c r="E25" s="11">
        <v>16</v>
      </c>
      <c r="F25" s="11">
        <v>1</v>
      </c>
      <c r="G25" s="12">
        <f t="shared" si="0"/>
        <v>3.1592000000000002E-2</v>
      </c>
      <c r="H25" s="12">
        <f t="shared" si="1"/>
        <v>3.1592000000000002E-2</v>
      </c>
      <c r="I25" s="17"/>
    </row>
    <row r="26" spans="1:9" ht="30" customHeight="1" x14ac:dyDescent="0.25">
      <c r="A26" s="10">
        <v>18</v>
      </c>
      <c r="B26" s="10" t="s">
        <v>11</v>
      </c>
      <c r="C26" s="11">
        <v>600</v>
      </c>
      <c r="D26" s="11">
        <v>40</v>
      </c>
      <c r="E26" s="11">
        <v>16</v>
      </c>
      <c r="F26" s="11">
        <v>1</v>
      </c>
      <c r="G26" s="12">
        <f t="shared" si="0"/>
        <v>2.4E-2</v>
      </c>
      <c r="H26" s="12">
        <f t="shared" si="1"/>
        <v>2.4E-2</v>
      </c>
      <c r="I26" s="17"/>
    </row>
    <row r="27" spans="1:9" ht="30" customHeight="1" x14ac:dyDescent="0.25">
      <c r="A27" s="13">
        <v>19</v>
      </c>
      <c r="B27" s="13" t="s">
        <v>12</v>
      </c>
      <c r="C27" s="14">
        <v>498</v>
      </c>
      <c r="D27" s="14">
        <v>498</v>
      </c>
      <c r="E27" s="14">
        <v>16</v>
      </c>
      <c r="F27" s="14">
        <v>3</v>
      </c>
      <c r="G27" s="15">
        <f t="shared" si="0"/>
        <v>0.248004</v>
      </c>
      <c r="H27" s="15">
        <f t="shared" si="1"/>
        <v>0.74401200000000001</v>
      </c>
      <c r="I27" s="18"/>
    </row>
    <row r="28" spans="1:9" ht="30" customHeight="1" x14ac:dyDescent="0.25">
      <c r="A28" s="13">
        <v>20</v>
      </c>
      <c r="B28" s="13" t="s">
        <v>12</v>
      </c>
      <c r="C28" s="14">
        <v>1628</v>
      </c>
      <c r="D28" s="14">
        <v>498</v>
      </c>
      <c r="E28" s="14">
        <v>16</v>
      </c>
      <c r="F28" s="14">
        <v>3</v>
      </c>
      <c r="G28" s="15">
        <f t="shared" si="0"/>
        <v>0.81074400000000002</v>
      </c>
      <c r="H28" s="15">
        <f t="shared" si="1"/>
        <v>2.4322319999999999</v>
      </c>
      <c r="I28" s="18" t="s">
        <v>59</v>
      </c>
    </row>
    <row r="29" spans="1:9" ht="30" customHeight="1" x14ac:dyDescent="0.25">
      <c r="A29" s="10">
        <v>21</v>
      </c>
      <c r="B29" s="10" t="s">
        <v>11</v>
      </c>
      <c r="C29" s="11">
        <v>2230</v>
      </c>
      <c r="D29" s="11">
        <v>450</v>
      </c>
      <c r="E29" s="11">
        <v>16</v>
      </c>
      <c r="F29" s="11">
        <v>2</v>
      </c>
      <c r="G29" s="12">
        <f t="shared" si="0"/>
        <v>1.0035000000000001</v>
      </c>
      <c r="H29" s="12">
        <f t="shared" si="1"/>
        <v>2.0070000000000001</v>
      </c>
      <c r="I29" s="17" t="s">
        <v>60</v>
      </c>
    </row>
    <row r="30" spans="1:9" ht="30" customHeight="1" x14ac:dyDescent="0.25">
      <c r="A30" s="10">
        <v>22</v>
      </c>
      <c r="B30" s="10" t="s">
        <v>11</v>
      </c>
      <c r="C30" s="11">
        <v>97</v>
      </c>
      <c r="D30" s="11">
        <v>1500</v>
      </c>
      <c r="E30" s="11">
        <v>16</v>
      </c>
      <c r="F30" s="11">
        <v>1</v>
      </c>
      <c r="G30" s="12">
        <f t="shared" si="0"/>
        <v>0.14549999999999999</v>
      </c>
      <c r="H30" s="12">
        <f t="shared" si="1"/>
        <v>0.14549999999999999</v>
      </c>
      <c r="I30" s="17"/>
    </row>
    <row r="32" spans="1:9" x14ac:dyDescent="0.25">
      <c r="A32" s="3" t="s">
        <v>61</v>
      </c>
      <c r="B32" s="3">
        <f>SUM(F9:F30)</f>
        <v>35</v>
      </c>
    </row>
    <row r="33" spans="1:2" x14ac:dyDescent="0.25">
      <c r="A33" s="3" t="s">
        <v>62</v>
      </c>
      <c r="B33" s="19">
        <f>SUM(H9:H30)</f>
        <v>11.903931999999999</v>
      </c>
    </row>
  </sheetData>
  <mergeCells count="7">
    <mergeCell ref="D6:G6"/>
    <mergeCell ref="D7:G7"/>
    <mergeCell ref="A1:I1"/>
    <mergeCell ref="D2:H2"/>
    <mergeCell ref="D3:G3"/>
    <mergeCell ref="D4:G4"/>
    <mergeCell ref="D5:G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workbookViewId="0"/>
  </sheetViews>
  <sheetFormatPr defaultRowHeight="15" x14ac:dyDescent="0.25"/>
  <cols>
    <col min="1" max="1" width="18" customWidth="1"/>
    <col min="2" max="2" width="16" customWidth="1"/>
    <col min="3" max="5" width="13" customWidth="1"/>
    <col min="6" max="6" width="12" customWidth="1"/>
    <col min="7" max="8" width="14" customWidth="1"/>
    <col min="9" max="9" width="52" customWidth="1"/>
  </cols>
  <sheetData>
    <row r="1" spans="1:9" ht="21" x14ac:dyDescent="0.35">
      <c r="A1" s="78" t="s">
        <v>63</v>
      </c>
      <c r="B1" s="78"/>
      <c r="C1" s="78"/>
      <c r="D1" s="78"/>
      <c r="E1" s="78"/>
      <c r="F1" s="78"/>
      <c r="G1" s="78"/>
      <c r="H1" s="78"/>
      <c r="I1" s="78"/>
    </row>
    <row r="2" spans="1:9" ht="15.75" x14ac:dyDescent="0.25">
      <c r="D2" s="79" t="s">
        <v>39</v>
      </c>
      <c r="E2" s="79"/>
      <c r="F2" s="79"/>
      <c r="G2" s="79"/>
      <c r="H2" s="79"/>
    </row>
    <row r="3" spans="1:9" x14ac:dyDescent="0.25">
      <c r="A3" s="1" t="s">
        <v>23</v>
      </c>
      <c r="B3" s="1" t="s">
        <v>40</v>
      </c>
      <c r="D3" s="80" t="s">
        <v>41</v>
      </c>
      <c r="E3" s="81"/>
      <c r="F3" s="81"/>
      <c r="G3" s="81"/>
      <c r="H3" s="4">
        <f>'Общий итог'!C6</f>
        <v>56</v>
      </c>
    </row>
    <row r="4" spans="1:9" x14ac:dyDescent="0.25">
      <c r="A4" s="1" t="s">
        <v>42</v>
      </c>
      <c r="B4" s="1" t="s">
        <v>43</v>
      </c>
      <c r="D4" s="80" t="s">
        <v>44</v>
      </c>
      <c r="E4" s="81"/>
      <c r="F4" s="81"/>
      <c r="G4" s="81"/>
      <c r="H4" s="5">
        <f>'Общий итог'!D6</f>
        <v>17.678846</v>
      </c>
    </row>
    <row r="5" spans="1:9" x14ac:dyDescent="0.25">
      <c r="A5" s="2" t="s">
        <v>45</v>
      </c>
      <c r="B5" s="2">
        <f>SUM(F9:F19)</f>
        <v>21</v>
      </c>
      <c r="D5" s="80" t="s">
        <v>46</v>
      </c>
      <c r="E5" s="81"/>
      <c r="F5" s="81"/>
      <c r="G5" s="81"/>
      <c r="H5" s="5">
        <f>'Общий итог'!D10</f>
        <v>10.262790000000003</v>
      </c>
    </row>
    <row r="6" spans="1:9" x14ac:dyDescent="0.25">
      <c r="A6" s="2" t="s">
        <v>47</v>
      </c>
      <c r="B6" s="2">
        <f>SUM(H9:H19)</f>
        <v>5.7749139999999999</v>
      </c>
      <c r="D6" s="80" t="s">
        <v>48</v>
      </c>
      <c r="E6" s="81"/>
      <c r="F6" s="81"/>
      <c r="G6" s="81"/>
      <c r="H6" s="5">
        <f>'Общий итог'!D11</f>
        <v>4.2398120000000006</v>
      </c>
    </row>
    <row r="7" spans="1:9" x14ac:dyDescent="0.25">
      <c r="D7" s="80" t="s">
        <v>49</v>
      </c>
      <c r="E7" s="81"/>
      <c r="F7" s="81"/>
      <c r="G7" s="81"/>
      <c r="H7" s="5">
        <f>'Общий итог'!D12</f>
        <v>3.1762440000000001</v>
      </c>
    </row>
    <row r="8" spans="1:9" ht="30" customHeight="1" x14ac:dyDescent="0.25">
      <c r="A8" s="6" t="s">
        <v>50</v>
      </c>
      <c r="B8" s="6" t="s">
        <v>9</v>
      </c>
      <c r="C8" s="6" t="s">
        <v>51</v>
      </c>
      <c r="D8" s="6" t="s">
        <v>52</v>
      </c>
      <c r="E8" s="6" t="s">
        <v>53</v>
      </c>
      <c r="F8" s="6" t="s">
        <v>54</v>
      </c>
      <c r="G8" s="6" t="s">
        <v>55</v>
      </c>
      <c r="H8" s="6" t="s">
        <v>56</v>
      </c>
      <c r="I8" s="6" t="s">
        <v>57</v>
      </c>
    </row>
    <row r="9" spans="1:9" ht="30" customHeight="1" x14ac:dyDescent="0.25">
      <c r="A9" s="7">
        <v>1</v>
      </c>
      <c r="B9" s="7" t="s">
        <v>58</v>
      </c>
      <c r="C9" s="8">
        <v>718</v>
      </c>
      <c r="D9" s="8">
        <v>448</v>
      </c>
      <c r="E9" s="8">
        <v>16</v>
      </c>
      <c r="F9" s="8">
        <v>4</v>
      </c>
      <c r="G9" s="9">
        <f t="shared" ref="G9:G19" si="0">C9*D9/1000000</f>
        <v>0.32166400000000001</v>
      </c>
      <c r="H9" s="9">
        <f t="shared" ref="H9:H19" si="1">G9*F9</f>
        <v>1.286656</v>
      </c>
      <c r="I9" s="16"/>
    </row>
    <row r="10" spans="1:9" ht="30" customHeight="1" x14ac:dyDescent="0.25">
      <c r="A10" s="7">
        <v>2</v>
      </c>
      <c r="B10" s="7" t="s">
        <v>58</v>
      </c>
      <c r="C10" s="8">
        <v>718</v>
      </c>
      <c r="D10" s="8">
        <v>598</v>
      </c>
      <c r="E10" s="8">
        <v>16</v>
      </c>
      <c r="F10" s="8">
        <v>3</v>
      </c>
      <c r="G10" s="9">
        <f t="shared" si="0"/>
        <v>0.42936400000000002</v>
      </c>
      <c r="H10" s="9">
        <f t="shared" si="1"/>
        <v>1.288092</v>
      </c>
      <c r="I10" s="16"/>
    </row>
    <row r="11" spans="1:9" ht="30" customHeight="1" x14ac:dyDescent="0.25">
      <c r="A11" s="7">
        <v>3</v>
      </c>
      <c r="B11" s="7" t="s">
        <v>58</v>
      </c>
      <c r="C11" s="8">
        <v>718</v>
      </c>
      <c r="D11" s="8">
        <v>553</v>
      </c>
      <c r="E11" s="8">
        <v>16</v>
      </c>
      <c r="F11" s="8">
        <v>1</v>
      </c>
      <c r="G11" s="9">
        <f t="shared" si="0"/>
        <v>0.39705400000000002</v>
      </c>
      <c r="H11" s="9">
        <f t="shared" si="1"/>
        <v>0.39705400000000002</v>
      </c>
      <c r="I11" s="16"/>
    </row>
    <row r="12" spans="1:9" ht="30" customHeight="1" x14ac:dyDescent="0.25">
      <c r="A12" s="7">
        <v>4</v>
      </c>
      <c r="B12" s="7" t="s">
        <v>58</v>
      </c>
      <c r="C12" s="8">
        <v>358</v>
      </c>
      <c r="D12" s="8">
        <v>898</v>
      </c>
      <c r="E12" s="8">
        <v>16</v>
      </c>
      <c r="F12" s="8">
        <v>2</v>
      </c>
      <c r="G12" s="9">
        <f t="shared" si="0"/>
        <v>0.32148399999999999</v>
      </c>
      <c r="H12" s="9">
        <f t="shared" si="1"/>
        <v>0.64296799999999998</v>
      </c>
      <c r="I12" s="16"/>
    </row>
    <row r="13" spans="1:9" ht="30" customHeight="1" x14ac:dyDescent="0.25">
      <c r="A13" s="7">
        <v>5</v>
      </c>
      <c r="B13" s="7" t="s">
        <v>58</v>
      </c>
      <c r="C13" s="8">
        <v>178</v>
      </c>
      <c r="D13" s="8">
        <v>898</v>
      </c>
      <c r="E13" s="8">
        <v>16</v>
      </c>
      <c r="F13" s="8">
        <v>4</v>
      </c>
      <c r="G13" s="9">
        <f t="shared" si="0"/>
        <v>0.15984400000000001</v>
      </c>
      <c r="H13" s="9">
        <f t="shared" si="1"/>
        <v>0.63937600000000006</v>
      </c>
      <c r="I13" s="16"/>
    </row>
    <row r="14" spans="1:9" ht="30" customHeight="1" x14ac:dyDescent="0.25">
      <c r="A14" s="7">
        <v>6</v>
      </c>
      <c r="B14" s="7" t="s">
        <v>58</v>
      </c>
      <c r="C14" s="8">
        <v>358</v>
      </c>
      <c r="D14" s="8">
        <v>598</v>
      </c>
      <c r="E14" s="8">
        <v>16</v>
      </c>
      <c r="F14" s="8">
        <v>2</v>
      </c>
      <c r="G14" s="9">
        <f t="shared" si="0"/>
        <v>0.214084</v>
      </c>
      <c r="H14" s="9">
        <f t="shared" si="1"/>
        <v>0.42816799999999999</v>
      </c>
      <c r="I14" s="16"/>
    </row>
    <row r="15" spans="1:9" ht="30" customHeight="1" x14ac:dyDescent="0.25">
      <c r="A15" s="10">
        <v>7</v>
      </c>
      <c r="B15" s="10" t="s">
        <v>11</v>
      </c>
      <c r="C15" s="11">
        <v>718</v>
      </c>
      <c r="D15" s="11">
        <v>50</v>
      </c>
      <c r="E15" s="11">
        <v>16</v>
      </c>
      <c r="F15" s="11">
        <v>1</v>
      </c>
      <c r="G15" s="12">
        <f t="shared" si="0"/>
        <v>3.5900000000000001E-2</v>
      </c>
      <c r="H15" s="12">
        <f t="shared" si="1"/>
        <v>3.5900000000000001E-2</v>
      </c>
      <c r="I15" s="17"/>
    </row>
    <row r="16" spans="1:9" ht="30" customHeight="1" x14ac:dyDescent="0.25">
      <c r="A16" s="10">
        <v>8</v>
      </c>
      <c r="B16" s="10" t="s">
        <v>11</v>
      </c>
      <c r="C16" s="11">
        <v>718</v>
      </c>
      <c r="D16" s="11">
        <v>100</v>
      </c>
      <c r="E16" s="11">
        <v>16</v>
      </c>
      <c r="F16" s="11">
        <v>1</v>
      </c>
      <c r="G16" s="12">
        <f t="shared" si="0"/>
        <v>7.1800000000000003E-2</v>
      </c>
      <c r="H16" s="12">
        <f t="shared" si="1"/>
        <v>7.1800000000000003E-2</v>
      </c>
      <c r="I16" s="17"/>
    </row>
    <row r="17" spans="1:9" ht="30" customHeight="1" x14ac:dyDescent="0.25">
      <c r="A17" s="10">
        <v>9</v>
      </c>
      <c r="B17" s="10" t="s">
        <v>11</v>
      </c>
      <c r="C17" s="11">
        <v>147</v>
      </c>
      <c r="D17" s="11">
        <v>2750</v>
      </c>
      <c r="E17" s="11">
        <v>16</v>
      </c>
      <c r="F17" s="11">
        <v>1</v>
      </c>
      <c r="G17" s="12">
        <f t="shared" si="0"/>
        <v>0.40425</v>
      </c>
      <c r="H17" s="12">
        <f t="shared" si="1"/>
        <v>0.40425</v>
      </c>
      <c r="I17" s="17"/>
    </row>
    <row r="18" spans="1:9" ht="30" customHeight="1" x14ac:dyDescent="0.25">
      <c r="A18" s="10">
        <v>10</v>
      </c>
      <c r="B18" s="10" t="s">
        <v>11</v>
      </c>
      <c r="C18" s="11">
        <v>147</v>
      </c>
      <c r="D18" s="11">
        <v>2700</v>
      </c>
      <c r="E18" s="11">
        <v>16</v>
      </c>
      <c r="F18" s="11">
        <v>1</v>
      </c>
      <c r="G18" s="12">
        <f t="shared" si="0"/>
        <v>0.39689999999999998</v>
      </c>
      <c r="H18" s="12">
        <f t="shared" si="1"/>
        <v>0.39689999999999998</v>
      </c>
      <c r="I18" s="17"/>
    </row>
    <row r="19" spans="1:9" ht="30" customHeight="1" x14ac:dyDescent="0.25">
      <c r="A19" s="10">
        <v>11</v>
      </c>
      <c r="B19" s="10" t="s">
        <v>11</v>
      </c>
      <c r="C19" s="11">
        <v>147</v>
      </c>
      <c r="D19" s="11">
        <v>1250</v>
      </c>
      <c r="E19" s="11">
        <v>16</v>
      </c>
      <c r="F19" s="11">
        <v>1</v>
      </c>
      <c r="G19" s="12">
        <f t="shared" si="0"/>
        <v>0.18375</v>
      </c>
      <c r="H19" s="12">
        <f t="shared" si="1"/>
        <v>0.18375</v>
      </c>
      <c r="I19" s="17"/>
    </row>
    <row r="21" spans="1:9" x14ac:dyDescent="0.25">
      <c r="A21" s="3" t="s">
        <v>61</v>
      </c>
      <c r="B21" s="3">
        <f>SUM(F9:F19)</f>
        <v>21</v>
      </c>
    </row>
    <row r="22" spans="1:9" x14ac:dyDescent="0.25">
      <c r="A22" s="3" t="s">
        <v>62</v>
      </c>
      <c r="B22" s="19">
        <f>SUM(H9:H19)</f>
        <v>5.7749139999999999</v>
      </c>
    </row>
  </sheetData>
  <mergeCells count="7">
    <mergeCell ref="D6:G6"/>
    <mergeCell ref="D7:G7"/>
    <mergeCell ref="A1:I1"/>
    <mergeCell ref="D2:H2"/>
    <mergeCell ref="D3:G3"/>
    <mergeCell ref="D4:G4"/>
    <mergeCell ref="D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Общий итог</vt:lpstr>
      <vt:lpstr>6010-R90B</vt:lpstr>
      <vt:lpstr>1000-N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MAIN</cp:lastModifiedBy>
  <dcterms:modified xsi:type="dcterms:W3CDTF">2026-07-22T21:06:30Z</dcterms:modified>
</cp:coreProperties>
</file>